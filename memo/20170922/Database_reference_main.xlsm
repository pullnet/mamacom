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225" windowWidth="19395" windowHeight="7725" tabRatio="888" activeTab="2"/>
  </bookViews>
  <sheets>
    <sheet name="TOP" sheetId="1" r:id="rId1"/>
    <sheet name="基本設定" sheetId="8" r:id="rId2"/>
    <sheet name="E-R図" sheetId="7" r:id="rId3"/>
    <sheet name="メニュー" sheetId="4" r:id="rId4"/>
    <sheet name="テーブル一覧" sheetId="2" r:id="rId5"/>
    <sheet name="共通項目" sheetId="3" r:id="rId6"/>
    <sheet name="会員情報" sheetId="6" r:id="rId7"/>
    <sheet name="ユーザーオプション情報" sheetId="9" r:id="rId8"/>
    <sheet name="お気に入り情報" sheetId="46" r:id="rId9"/>
    <sheet name="コラボ・ライブラリ共通情報" sheetId="10" r:id="rId10"/>
    <sheet name="追加コンテンツ情報" sheetId="11" r:id="rId11"/>
    <sheet name="ライブラリ受注受付設定" sheetId="12" r:id="rId12"/>
    <sheet name="コラボ参加表明受付設定" sheetId="13" r:id="rId13"/>
    <sheet name="コラボ参加表明情報" sheetId="14" r:id="rId14"/>
    <sheet name="注文情報" sheetId="16" r:id="rId15"/>
    <sheet name="仲間・グループ情報" sheetId="21" r:id="rId16"/>
    <sheet name="仲間グループユーザー情報" sheetId="22" r:id="rId17"/>
    <sheet name="メッセージフィールド情報" sheetId="23" r:id="rId18"/>
    <sheet name="メッセージフィールドユーザー情報" sheetId="24" r:id="rId19"/>
    <sheet name="メッセージ情報" sheetId="25" r:id="rId20"/>
    <sheet name="メッセージ添付データ情報" sheetId="26" r:id="rId21"/>
    <sheet name="メッセージ未読既読情報" sheetId="27" r:id="rId22"/>
  </sheets>
  <functionGroups builtInGroupCount="17"/>
  <definedNames>
    <definedName name="_xlnm.Print_Area" localSheetId="2">'E-R図'!$A$1:$CE$226</definedName>
    <definedName name="_xlnm.Print_Area" localSheetId="0">TOP!$A$1:$N$39</definedName>
    <definedName name="_xlnm.Print_Area" localSheetId="8">お気に入り情報!$A$1:$AF$21</definedName>
    <definedName name="_xlnm.Print_Area" localSheetId="9">コラボ・ライブラリ共通情報!$A$1:$AF$23</definedName>
    <definedName name="_xlnm.Print_Area" localSheetId="12">コラボ参加表明受付設定!$A$1:$AF$21</definedName>
    <definedName name="_xlnm.Print_Area" localSheetId="13">コラボ参加表明情報!$A$1:$AF$17</definedName>
    <definedName name="_xlnm.Print_Area" localSheetId="4">テーブル一覧!$A$1:$U$61</definedName>
    <definedName name="_xlnm.Print_Area" localSheetId="18">メッセージフィールドユーザー情報!$A$1:$AF$22</definedName>
    <definedName name="_xlnm.Print_Area" localSheetId="17">メッセージフィールド情報!$A$1:$AF$22</definedName>
    <definedName name="_xlnm.Print_Area" localSheetId="19">メッセージ情報!$A$1:$AF$21</definedName>
    <definedName name="_xlnm.Print_Area" localSheetId="20">メッセージ添付データ情報!$A$1:$AF$21</definedName>
    <definedName name="_xlnm.Print_Area" localSheetId="21">メッセージ未読既読情報!$A$1:$AF$22</definedName>
    <definedName name="_xlnm.Print_Area" localSheetId="3">メニュー!$A$1:$U$21</definedName>
    <definedName name="_xlnm.Print_Area" localSheetId="7">ユーザーオプション情報!$A$1:$AF$21</definedName>
    <definedName name="_xlnm.Print_Area" localSheetId="11">ライブラリ受注受付設定!$A$1:$AF$23</definedName>
    <definedName name="_xlnm.Print_Area" localSheetId="6">会員情報!$A$1:$AF$21</definedName>
    <definedName name="_xlnm.Print_Area" localSheetId="1">基本設定!$A$1:$T$17</definedName>
    <definedName name="_xlnm.Print_Area" localSheetId="5">共通項目!$A$1:$AF$24</definedName>
    <definedName name="_xlnm.Print_Area" localSheetId="15">仲間・グループ情報!$A$1:$AF$23</definedName>
    <definedName name="_xlnm.Print_Area" localSheetId="16">仲間グループユーザー情報!$A$1:$AF$23</definedName>
    <definedName name="_xlnm.Print_Area" localSheetId="14">注文情報!$A$1:$AF$32</definedName>
    <definedName name="_xlnm.Print_Area" localSheetId="10">追加コンテンツ情報!$A$1:$AF$23</definedName>
  </definedNames>
  <calcPr calcId="145621"/>
</workbook>
</file>

<file path=xl/calcChain.xml><?xml version="1.0" encoding="utf-8"?>
<calcChain xmlns="http://schemas.openxmlformats.org/spreadsheetml/2006/main">
  <c r="F2" i="46" l="1"/>
  <c r="F2" i="27"/>
  <c r="F2" i="26"/>
  <c r="F2" i="25"/>
  <c r="F2" i="24"/>
  <c r="F2" i="23"/>
  <c r="F2" i="22"/>
  <c r="F2" i="21"/>
  <c r="F2" i="16"/>
  <c r="F2" i="14"/>
  <c r="F2" i="13"/>
  <c r="F2" i="12"/>
  <c r="F2" i="11"/>
  <c r="F2" i="10"/>
  <c r="F2" i="9"/>
  <c r="F2" i="6"/>
  <c r="A1" i="7"/>
  <c r="F2" i="3"/>
</calcChain>
</file>

<file path=xl/sharedStrings.xml><?xml version="1.0" encoding="utf-8"?>
<sst xmlns="http://schemas.openxmlformats.org/spreadsheetml/2006/main" count="1061" uniqueCount="481">
  <si>
    <t>更新日</t>
  </si>
  <si>
    <t>カラム項目</t>
    <rPh sb="3" eb="5">
      <t>コウモク</t>
    </rPh>
    <phoneticPr fontId="1"/>
  </si>
  <si>
    <t>No.</t>
    <phoneticPr fontId="1"/>
  </si>
  <si>
    <t>項目名</t>
    <rPh sb="0" eb="2">
      <t>コウモク</t>
    </rPh>
    <rPh sb="2" eb="3">
      <t>メイ</t>
    </rPh>
    <phoneticPr fontId="1"/>
  </si>
  <si>
    <t>カラム名</t>
    <rPh sb="3" eb="4">
      <t>メイ</t>
    </rPh>
    <phoneticPr fontId="1"/>
  </si>
  <si>
    <t>宣言型</t>
    <rPh sb="0" eb="2">
      <t>センゲン</t>
    </rPh>
    <rPh sb="2" eb="3">
      <t>ガタ</t>
    </rPh>
    <phoneticPr fontId="1"/>
  </si>
  <si>
    <t>桁数</t>
    <rPh sb="0" eb="1">
      <t>ケタ</t>
    </rPh>
    <rPh sb="1" eb="2">
      <t>スウ</t>
    </rPh>
    <phoneticPr fontId="1"/>
  </si>
  <si>
    <t>初期値</t>
    <rPh sb="0" eb="3">
      <t>ショキチ</t>
    </rPh>
    <phoneticPr fontId="1"/>
  </si>
  <si>
    <t>AI</t>
    <phoneticPr fontId="1"/>
  </si>
  <si>
    <t>PK</t>
    <phoneticPr fontId="1"/>
  </si>
  <si>
    <t>備考</t>
    <rPh sb="0" eb="2">
      <t>ビコウ</t>
    </rPh>
    <phoneticPr fontId="1"/>
  </si>
  <si>
    <t>テーブル種類</t>
    <rPh sb="4" eb="6">
      <t>シュルイ</t>
    </rPh>
    <phoneticPr fontId="1"/>
  </si>
  <si>
    <t>通常</t>
    <rPh sb="0" eb="2">
      <t>ツウジョウ</t>
    </rPh>
    <phoneticPr fontId="1"/>
  </si>
  <si>
    <t>共通</t>
    <rPh sb="0" eb="2">
      <t>キョウツウ</t>
    </rPh>
    <phoneticPr fontId="1"/>
  </si>
  <si>
    <t>ID</t>
    <phoneticPr fontId="1"/>
  </si>
  <si>
    <t>id</t>
    <phoneticPr fontId="1"/>
  </si>
  <si>
    <t>作成日時</t>
    <rPh sb="0" eb="2">
      <t>サクセイ</t>
    </rPh>
    <rPh sb="2" eb="4">
      <t>ニチジ</t>
    </rPh>
    <phoneticPr fontId="1"/>
  </si>
  <si>
    <t>datetime</t>
  </si>
  <si>
    <t>datetime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</si>
  <si>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</si>
  <si>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</si>
  <si>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作成ユーザーID</t>
    <rPh sb="0" eb="2">
      <t>サクセイ</t>
    </rPh>
    <phoneticPr fontId="1"/>
  </si>
  <si>
    <t>更新ユーザーID</t>
    <rPh sb="0" eb="2">
      <t>コウシン</t>
    </rPh>
    <phoneticPr fontId="1"/>
  </si>
  <si>
    <t>integer</t>
    <phoneticPr fontId="1"/>
  </si>
  <si>
    <t>varchar</t>
    <phoneticPr fontId="1"/>
  </si>
  <si>
    <t>date</t>
    <phoneticPr fontId="1"/>
  </si>
  <si>
    <t>time</t>
    <phoneticPr fontId="1"/>
  </si>
  <si>
    <t>text</t>
    <phoneticPr fontId="1"/>
  </si>
  <si>
    <t>基本設定</t>
    <rPh sb="0" eb="2">
      <t>キホン</t>
    </rPh>
    <rPh sb="2" eb="4">
      <t>セッテイ</t>
    </rPh>
    <phoneticPr fontId="1"/>
  </si>
  <si>
    <t>データベース名</t>
    <rPh sb="6" eb="7">
      <t>メイ</t>
    </rPh>
    <phoneticPr fontId="1"/>
  </si>
  <si>
    <t>タイトル</t>
    <phoneticPr fontId="1"/>
  </si>
  <si>
    <t>設計担当</t>
    <rPh sb="0" eb="2">
      <t>セッケイ</t>
    </rPh>
    <rPh sb="2" eb="4">
      <t>タントウ</t>
    </rPh>
    <phoneticPr fontId="1"/>
  </si>
  <si>
    <t>テーブル詳細</t>
    <rPh sb="4" eb="6">
      <t>ショウサイ</t>
    </rPh>
    <phoneticPr fontId="1"/>
  </si>
  <si>
    <t>データベース(MYSQL)の出力</t>
    <rPh sb="14" eb="16">
      <t>シュツリョク</t>
    </rPh>
    <phoneticPr fontId="1"/>
  </si>
  <si>
    <t>出力ファイルパス</t>
    <rPh sb="0" eb="2">
      <t>シュツリョク</t>
    </rPh>
    <phoneticPr fontId="1"/>
  </si>
  <si>
    <t>table_default</t>
    <phoneticPr fontId="1"/>
  </si>
  <si>
    <t>table_normal</t>
    <phoneticPr fontId="1"/>
  </si>
  <si>
    <t>テーブル名称</t>
    <rPh sb="4" eb="6">
      <t>メイショウ</t>
    </rPh>
    <phoneticPr fontId="1"/>
  </si>
  <si>
    <t>備考</t>
    <rPh sb="0" eb="2">
      <t>ビコウ</t>
    </rPh>
    <phoneticPr fontId="1"/>
  </si>
  <si>
    <t>作成日</t>
    <phoneticPr fontId="1"/>
  </si>
  <si>
    <t>テーブル名</t>
    <rPh sb="4" eb="5">
      <t>メイ</t>
    </rPh>
    <phoneticPr fontId="1"/>
  </si>
  <si>
    <t>-</t>
    <phoneticPr fontId="1"/>
  </si>
  <si>
    <t>users</t>
    <phoneticPr fontId="1"/>
  </si>
  <si>
    <t>integer</t>
    <phoneticPr fontId="1"/>
  </si>
  <si>
    <t>NOT NULL</t>
    <phoneticPr fontId="1"/>
  </si>
  <si>
    <t>○</t>
    <phoneticPr fontId="1"/>
  </si>
  <si>
    <t>NOT NULL</t>
    <phoneticPr fontId="1"/>
  </si>
  <si>
    <t>出力ファイル名</t>
    <rPh sb="0" eb="2">
      <t>シュツリョク</t>
    </rPh>
    <rPh sb="6" eb="7">
      <t>メイ</t>
    </rPh>
    <phoneticPr fontId="1"/>
  </si>
  <si>
    <t>中辻</t>
    <rPh sb="0" eb="2">
      <t>ナカツジ</t>
    </rPh>
    <phoneticPr fontId="1"/>
  </si>
  <si>
    <t>No.</t>
    <phoneticPr fontId="1"/>
  </si>
  <si>
    <t>テーブル名</t>
    <rPh sb="4" eb="5">
      <t>メイ</t>
    </rPh>
    <phoneticPr fontId="1"/>
  </si>
  <si>
    <t xml:space="preserve">
</t>
    <phoneticPr fontId="1"/>
  </si>
  <si>
    <t xml:space="preserve"> </t>
    <phoneticPr fontId="1"/>
  </si>
  <si>
    <t>作成ユーザー権限</t>
    <rPh sb="0" eb="2">
      <t>サクセイ</t>
    </rPh>
    <rPh sb="6" eb="8">
      <t>ケンゲン</t>
    </rPh>
    <phoneticPr fontId="1"/>
  </si>
  <si>
    <t>更新ユーザー権限</t>
    <rPh sb="0" eb="2">
      <t>コウシン</t>
    </rPh>
    <rPh sb="6" eb="8">
      <t>ケンゲン</t>
    </rPh>
    <phoneticPr fontId="1"/>
  </si>
  <si>
    <t>0:一般ユーザー,1:管理者</t>
    <rPh sb="2" eb="4">
      <t>イッパン</t>
    </rPh>
    <rPh sb="11" eb="14">
      <t>カンリシャ</t>
    </rPh>
    <phoneticPr fontId="1"/>
  </si>
  <si>
    <t>collabos_ver2</t>
    <phoneticPr fontId="1"/>
  </si>
  <si>
    <t>メールアドレス</t>
    <phoneticPr fontId="1"/>
  </si>
  <si>
    <t>0:公開、1:利用停止</t>
    <phoneticPr fontId="1"/>
  </si>
  <si>
    <t>0:仮会員、1:正会員、2:退会</t>
    <phoneticPr fontId="1"/>
  </si>
  <si>
    <t>ステータス</t>
    <phoneticPr fontId="1"/>
  </si>
  <si>
    <t>有効ステータス</t>
    <phoneticPr fontId="1"/>
  </si>
  <si>
    <t>仮登録用番号</t>
    <phoneticPr fontId="1"/>
  </si>
  <si>
    <t>ユーザー管理番号</t>
    <phoneticPr fontId="1"/>
  </si>
  <si>
    <t>ユーザー名</t>
    <phoneticPr fontId="1"/>
  </si>
  <si>
    <t>パスワード</t>
    <phoneticPr fontId="1"/>
  </si>
  <si>
    <t>Facebook連携ID</t>
    <phoneticPr fontId="1"/>
  </si>
  <si>
    <t>twitter連携ID</t>
    <phoneticPr fontId="1"/>
  </si>
  <si>
    <t>API用アプリID</t>
    <phoneticPr fontId="1"/>
  </si>
  <si>
    <t>コンテンツデータ管理用アプリID</t>
    <phoneticPr fontId="1"/>
  </si>
  <si>
    <t>クレジット支払情報(JSON)</t>
    <phoneticPr fontId="1"/>
  </si>
  <si>
    <t>mailaddress</t>
    <phoneticPr fontId="1"/>
  </si>
  <si>
    <t>status</t>
    <phoneticPr fontId="1"/>
  </si>
  <si>
    <t>role</t>
    <phoneticPr fontId="1"/>
  </si>
  <si>
    <t>provision_number</t>
    <phoneticPr fontId="1"/>
  </si>
  <si>
    <t>user_number</t>
    <phoneticPr fontId="1"/>
  </si>
  <si>
    <t>username</t>
    <phoneticPr fontId="1"/>
  </si>
  <si>
    <t>password</t>
    <phoneticPr fontId="1"/>
  </si>
  <si>
    <t>fb_id</t>
    <phoneticPr fontId="1"/>
  </si>
  <si>
    <t>tw_id</t>
    <phoneticPr fontId="1"/>
  </si>
  <si>
    <t>api_app_id</t>
    <phoneticPr fontId="1"/>
  </si>
  <si>
    <t>item_app_id</t>
    <phoneticPr fontId="1"/>
  </si>
  <si>
    <t>varchar</t>
    <phoneticPr fontId="1"/>
  </si>
  <si>
    <t>integer</t>
    <phoneticPr fontId="1"/>
  </si>
  <si>
    <t>integer</t>
    <phoneticPr fontId="1"/>
  </si>
  <si>
    <t>varchar</t>
    <phoneticPr fontId="1"/>
  </si>
  <si>
    <t>text</t>
    <phoneticPr fontId="1"/>
  </si>
  <si>
    <t>text</t>
    <phoneticPr fontId="1"/>
  </si>
  <si>
    <t>JSONで記述</t>
    <rPh sb="5" eb="7">
      <t>キジュツ</t>
    </rPh>
    <phoneticPr fontId="1"/>
  </si>
  <si>
    <t>createdate</t>
    <phoneticPr fontId="1"/>
  </si>
  <si>
    <t>refreshdate</t>
    <phoneticPr fontId="1"/>
  </si>
  <si>
    <t>createuserid</t>
    <phoneticPr fontId="1"/>
  </si>
  <si>
    <t>refreshuserid</t>
    <phoneticPr fontId="1"/>
  </si>
  <si>
    <t>createstatus</t>
    <phoneticPr fontId="1"/>
  </si>
  <si>
    <t>refreshstatus</t>
    <phoneticPr fontId="1"/>
  </si>
  <si>
    <t>値</t>
    <phoneticPr fontId="1"/>
  </si>
  <si>
    <t>オプション名</t>
    <phoneticPr fontId="1"/>
  </si>
  <si>
    <t>会員情報ID(FK)</t>
    <phoneticPr fontId="1"/>
  </si>
  <si>
    <t>user_id</t>
    <phoneticPr fontId="1"/>
  </si>
  <si>
    <t>name</t>
    <phoneticPr fontId="1"/>
  </si>
  <si>
    <t>value</t>
    <phoneticPr fontId="1"/>
  </si>
  <si>
    <t>text</t>
    <phoneticPr fontId="1"/>
  </si>
  <si>
    <t>varchar</t>
    <phoneticPr fontId="1"/>
  </si>
  <si>
    <t>varchar</t>
    <phoneticPr fontId="1"/>
  </si>
  <si>
    <t>integer</t>
    <phoneticPr fontId="1"/>
  </si>
  <si>
    <t>会員情報(User)</t>
    <rPh sb="0" eb="2">
      <t>カイイン</t>
    </rPh>
    <rPh sb="2" eb="4">
      <t>ジョウホウ</t>
    </rPh>
    <phoneticPr fontId="1"/>
  </si>
  <si>
    <t>コラボライブラリ受付表示ソート(JSON)</t>
    <phoneticPr fontId="1"/>
  </si>
  <si>
    <t>メタタグ情報</t>
    <phoneticPr fontId="1"/>
  </si>
  <si>
    <t>ショート説明文(一覧画面用)</t>
    <phoneticPr fontId="1"/>
  </si>
  <si>
    <t>フリースペース(概要文)</t>
    <phoneticPr fontId="1"/>
  </si>
  <si>
    <t>パーマリンクURL</t>
    <phoneticPr fontId="1"/>
  </si>
  <si>
    <t>共通コンテンツカテゴリID(FK)</t>
    <phoneticPr fontId="1"/>
  </si>
  <si>
    <t>管理番号</t>
    <phoneticPr fontId="1"/>
  </si>
  <si>
    <t>管理グループID(FK)</t>
    <phoneticPr fontId="1"/>
  </si>
  <si>
    <t>管理ユーザーID(FK)</t>
    <phoneticPr fontId="1"/>
  </si>
  <si>
    <t>コンテンツ情報ステータス</t>
    <phoneticPr fontId="1"/>
  </si>
  <si>
    <t>0:コラボ、1:ライブラリ</t>
    <phoneticPr fontId="1"/>
  </si>
  <si>
    <t>0:公開、1:会員のみ、2:友達のみ、3:非公開</t>
    <phoneticPr fontId="1"/>
  </si>
  <si>
    <t>公開ステータス</t>
    <phoneticPr fontId="1"/>
  </si>
  <si>
    <t>status</t>
    <phoneticPr fontId="1"/>
  </si>
  <si>
    <t>integer</t>
    <phoneticPr fontId="1"/>
  </si>
  <si>
    <t>user_id</t>
    <phoneticPr fontId="1"/>
  </si>
  <si>
    <t>group_id</t>
    <phoneticPr fontId="1"/>
  </si>
  <si>
    <t>number</t>
    <phoneticPr fontId="1"/>
  </si>
  <si>
    <t>title</t>
    <phoneticPr fontId="1"/>
  </si>
  <si>
    <t>open_status</t>
    <phoneticPr fontId="1"/>
  </si>
  <si>
    <t>contentscategory_id</t>
    <phoneticPr fontId="1"/>
  </si>
  <si>
    <t>permalink</t>
    <phoneticPr fontId="1"/>
  </si>
  <si>
    <t>caption</t>
    <phoneticPr fontId="1"/>
  </si>
  <si>
    <t>caption_short</t>
    <phoneticPr fontId="1"/>
  </si>
  <si>
    <t>metatag</t>
    <phoneticPr fontId="1"/>
  </si>
  <si>
    <t>contentset_sort</t>
    <phoneticPr fontId="1"/>
  </si>
  <si>
    <t>text</t>
    <phoneticPr fontId="1"/>
  </si>
  <si>
    <t>JSONで記述</t>
    <rPh sb="5" eb="7">
      <t>キジュツ</t>
    </rPh>
    <phoneticPr fontId="1"/>
  </si>
  <si>
    <t>integer</t>
    <phoneticPr fontId="1"/>
  </si>
  <si>
    <t>グループ情報(Group)</t>
    <rPh sb="4" eb="6">
      <t>ジョウホウ</t>
    </rPh>
    <phoneticPr fontId="1"/>
  </si>
  <si>
    <t>varchar</t>
    <phoneticPr fontId="1"/>
  </si>
  <si>
    <t>コンテンツカテゴリー情報(Contentcategory)</t>
    <rPh sb="10" eb="12">
      <t>ジョウホウ</t>
    </rPh>
    <phoneticPr fontId="1"/>
  </si>
  <si>
    <t>text</t>
    <phoneticPr fontId="1"/>
  </si>
  <si>
    <t>text</t>
    <phoneticPr fontId="1"/>
  </si>
  <si>
    <t>record_date</t>
    <phoneticPr fontId="1"/>
  </si>
  <si>
    <t>登録日</t>
    <rPh sb="0" eb="3">
      <t>トウロクビ</t>
    </rPh>
    <phoneticPr fontId="1"/>
  </si>
  <si>
    <t>datetime</t>
    <phoneticPr fontId="1"/>
  </si>
  <si>
    <t>コラボ・ライブラリ共通情報ID(FK)</t>
    <phoneticPr fontId="1"/>
  </si>
  <si>
    <t>0:サムネイル、1:追加コンテンツ</t>
    <phoneticPr fontId="1"/>
  </si>
  <si>
    <t>追加コンテンツステータス</t>
    <phoneticPr fontId="1"/>
  </si>
  <si>
    <t>コンテンツ形式</t>
    <phoneticPr fontId="1"/>
  </si>
  <si>
    <t>0:画像、1:動画、2:web画像</t>
    <phoneticPr fontId="1"/>
  </si>
  <si>
    <t>コンテンツURL、画像タグ番号</t>
    <phoneticPr fontId="1"/>
  </si>
  <si>
    <t>ショートイメージ用タグ番号</t>
    <phoneticPr fontId="1"/>
  </si>
  <si>
    <t>0:youtube、1:Veoh、3:ニコニコ動画</t>
    <phoneticPr fontId="1"/>
  </si>
  <si>
    <t>0:公開、1:会員のみ、2:友達のみ、3:非公開</t>
    <phoneticPr fontId="1"/>
  </si>
  <si>
    <t>コンテンツ動画用ステータス</t>
    <phoneticPr fontId="1"/>
  </si>
  <si>
    <t>コンテンツ備考情報</t>
    <phoneticPr fontId="1"/>
  </si>
  <si>
    <t>content_id</t>
    <phoneticPr fontId="1"/>
  </si>
  <si>
    <t>type</t>
    <phoneticPr fontId="1"/>
  </si>
  <si>
    <t>contents_type</t>
    <phoneticPr fontId="1"/>
  </si>
  <si>
    <t>content</t>
    <phoneticPr fontId="1"/>
  </si>
  <si>
    <t>movie_stauts</t>
    <phoneticPr fontId="1"/>
  </si>
  <si>
    <t>shortimgtag</t>
    <phoneticPr fontId="1"/>
  </si>
  <si>
    <t>open_status</t>
    <phoneticPr fontId="1"/>
  </si>
  <si>
    <t>comment</t>
    <phoneticPr fontId="1"/>
  </si>
  <si>
    <t>コラボ・ライブラリ共通情報(Content)</t>
    <phoneticPr fontId="1"/>
  </si>
  <si>
    <t>varchar</t>
    <phoneticPr fontId="1"/>
  </si>
  <si>
    <t>additems</t>
    <phoneticPr fontId="1"/>
  </si>
  <si>
    <t>contents</t>
    <phoneticPr fontId="1"/>
  </si>
  <si>
    <t>useroptions</t>
    <phoneticPr fontId="1"/>
  </si>
  <si>
    <t>libraryordersets</t>
    <phoneticPr fontId="1"/>
  </si>
  <si>
    <t>受注の概要</t>
    <phoneticPr fontId="1"/>
  </si>
  <si>
    <t>納品形態</t>
    <phoneticPr fontId="1"/>
  </si>
  <si>
    <t>ライブラリ提供の種類</t>
    <phoneticPr fontId="1"/>
  </si>
  <si>
    <t>予定納期</t>
    <phoneticPr fontId="1"/>
  </si>
  <si>
    <t>受付期間(終了日)</t>
    <phoneticPr fontId="1"/>
  </si>
  <si>
    <t>受付期間(開始日)</t>
    <phoneticPr fontId="1"/>
  </si>
  <si>
    <t>注文可能件数</t>
    <phoneticPr fontId="1"/>
  </si>
  <si>
    <t>number</t>
    <phoneticPr fontId="1"/>
  </si>
  <si>
    <t>title</t>
    <phoneticPr fontId="1"/>
  </si>
  <si>
    <t>enable_count</t>
    <phoneticPr fontId="1"/>
  </si>
  <si>
    <t>start_order_date</t>
    <phoneticPr fontId="1"/>
  </si>
  <si>
    <t>exit_order_date</t>
    <phoneticPr fontId="1"/>
  </si>
  <si>
    <t>enable_day</t>
    <phoneticPr fontId="1"/>
  </si>
  <si>
    <t>price_min</t>
    <phoneticPr fontId="1"/>
  </si>
  <si>
    <t>price_max</t>
    <phoneticPr fontId="1"/>
  </si>
  <si>
    <t>order_type</t>
    <phoneticPr fontId="1"/>
  </si>
  <si>
    <t>output_type</t>
    <phoneticPr fontId="1"/>
  </si>
  <si>
    <t>caption</t>
    <phoneticPr fontId="1"/>
  </si>
  <si>
    <t>integer</t>
    <phoneticPr fontId="1"/>
  </si>
  <si>
    <t>varchar</t>
    <phoneticPr fontId="1"/>
  </si>
  <si>
    <t>date</t>
    <phoneticPr fontId="1"/>
  </si>
  <si>
    <t>date</t>
    <phoneticPr fontId="1"/>
  </si>
  <si>
    <t>text</t>
    <phoneticPr fontId="1"/>
  </si>
  <si>
    <t>collabopartysets</t>
    <phoneticPr fontId="1"/>
  </si>
  <si>
    <t>管理番号</t>
    <phoneticPr fontId="1"/>
  </si>
  <si>
    <t>参加表明タイトル</t>
    <phoneticPr fontId="1"/>
  </si>
  <si>
    <t>共通コンテンツカテゴリID(FK)</t>
    <phoneticPr fontId="1"/>
  </si>
  <si>
    <t>参加予定人数</t>
    <phoneticPr fontId="1"/>
  </si>
  <si>
    <t>募集期間(開始日)</t>
    <phoneticPr fontId="1"/>
  </si>
  <si>
    <t>募集期間(終了日)</t>
    <phoneticPr fontId="1"/>
  </si>
  <si>
    <t>予算(最小)</t>
    <phoneticPr fontId="1"/>
  </si>
  <si>
    <t>予算(最大)</t>
    <phoneticPr fontId="1"/>
  </si>
  <si>
    <t>コラボ参加の種類</t>
    <phoneticPr fontId="1"/>
  </si>
  <si>
    <t>参加表明の概要</t>
    <phoneticPr fontId="1"/>
  </si>
  <si>
    <t>number</t>
    <phoneticPr fontId="1"/>
  </si>
  <si>
    <t>title</t>
    <phoneticPr fontId="1"/>
  </si>
  <si>
    <t>max_people</t>
    <phoneticPr fontId="1"/>
  </si>
  <si>
    <t>start_opendate</t>
    <phoneticPr fontId="1"/>
  </si>
  <si>
    <t>exit_opendate</t>
    <phoneticPr fontId="1"/>
  </si>
  <si>
    <t>min_price</t>
    <phoneticPr fontId="1"/>
  </si>
  <si>
    <t>max_price</t>
    <phoneticPr fontId="1"/>
  </si>
  <si>
    <t>party_type</t>
    <phoneticPr fontId="1"/>
  </si>
  <si>
    <t>caption</t>
    <phoneticPr fontId="1"/>
  </si>
  <si>
    <t>integer</t>
    <phoneticPr fontId="1"/>
  </si>
  <si>
    <t>コラボ・ライブラリ共通情報(Content)</t>
    <phoneticPr fontId="1"/>
  </si>
  <si>
    <t>varchar</t>
    <phoneticPr fontId="1"/>
  </si>
  <si>
    <t>共通コンテンツカテゴリー(Contentscategory)</t>
    <phoneticPr fontId="1"/>
  </si>
  <si>
    <t>date</t>
    <phoneticPr fontId="1"/>
  </si>
  <si>
    <t>date</t>
    <phoneticPr fontId="1"/>
  </si>
  <si>
    <t>text</t>
    <phoneticPr fontId="1"/>
  </si>
  <si>
    <t>希望価格</t>
    <phoneticPr fontId="1"/>
  </si>
  <si>
    <t>選考決定日</t>
    <phoneticPr fontId="1"/>
  </si>
  <si>
    <t>参加申請日</t>
    <phoneticPr fontId="1"/>
  </si>
  <si>
    <t>参加者からのコメント</t>
    <phoneticPr fontId="1"/>
  </si>
  <si>
    <t>参加ステータスキー</t>
    <phoneticPr fontId="1"/>
  </si>
  <si>
    <t>参加表明管理番号</t>
    <phoneticPr fontId="1"/>
  </si>
  <si>
    <t>参加ユーザー情報ID(FK)</t>
    <phoneticPr fontId="1"/>
  </si>
  <si>
    <t>コラボ参加表明受付設定ID(FK)</t>
    <phoneticPr fontId="1"/>
  </si>
  <si>
    <t>collabopartyset_id</t>
    <phoneticPr fontId="1"/>
  </si>
  <si>
    <t>user_id</t>
    <phoneticPr fontId="1"/>
  </si>
  <si>
    <t>number</t>
    <phoneticPr fontId="1"/>
  </si>
  <si>
    <t>party_status</t>
    <phoneticPr fontId="1"/>
  </si>
  <si>
    <t>comment</t>
    <phoneticPr fontId="1"/>
  </si>
  <si>
    <t>party_date</t>
    <phoneticPr fontId="1"/>
  </si>
  <si>
    <t>deadline_date</t>
    <phoneticPr fontId="1"/>
  </si>
  <si>
    <t>hope_price</t>
    <phoneticPr fontId="1"/>
  </si>
  <si>
    <t>varchar</t>
    <phoneticPr fontId="1"/>
  </si>
  <si>
    <t>text</t>
    <phoneticPr fontId="1"/>
  </si>
  <si>
    <t>コラボ参加表明受付設定(Collabopartyset)</t>
    <phoneticPr fontId="1"/>
  </si>
  <si>
    <t>会員情報(User)</t>
    <phoneticPr fontId="1"/>
  </si>
  <si>
    <t>コラボ参加表明情報ID(FK)</t>
    <phoneticPr fontId="1"/>
  </si>
  <si>
    <t>collaboparty_id</t>
    <phoneticPr fontId="1"/>
  </si>
  <si>
    <t>orders</t>
    <phoneticPr fontId="1"/>
  </si>
  <si>
    <t>納品日</t>
    <phoneticPr fontId="1"/>
  </si>
  <si>
    <t>発注日</t>
    <phoneticPr fontId="1"/>
  </si>
  <si>
    <t>その他備考</t>
    <phoneticPr fontId="1"/>
  </si>
  <si>
    <t>既読/未読ステータス</t>
    <phoneticPr fontId="1"/>
  </si>
  <si>
    <t>注文ステータスキー</t>
    <phoneticPr fontId="1"/>
  </si>
  <si>
    <t>配送先情報(JSON)</t>
    <phoneticPr fontId="1"/>
  </si>
  <si>
    <t>発注個数</t>
    <phoneticPr fontId="1"/>
  </si>
  <si>
    <t>希望納期</t>
    <phoneticPr fontId="1"/>
  </si>
  <si>
    <t>ライブラリ受注受付設定ID(FK)</t>
    <phoneticPr fontId="1"/>
  </si>
  <si>
    <t>注文管理番号</t>
    <phoneticPr fontId="1"/>
  </si>
  <si>
    <t>number</t>
    <phoneticPr fontId="1"/>
  </si>
  <si>
    <t>libraryorderset_id</t>
    <phoneticPr fontId="1"/>
  </si>
  <si>
    <t>hope_delivary</t>
    <phoneticPr fontId="1"/>
  </si>
  <si>
    <t>order_count</t>
    <phoneticPr fontId="1"/>
  </si>
  <si>
    <t>order_status</t>
    <phoneticPr fontId="1"/>
  </si>
  <si>
    <t>integer</t>
    <phoneticPr fontId="1"/>
  </si>
  <si>
    <t>read_status</t>
    <phoneticPr fontId="1"/>
  </si>
  <si>
    <t>caption</t>
    <phoneticPr fontId="1"/>
  </si>
  <si>
    <t>ライブラリ受注受付設定(Libraryorderset)</t>
    <phoneticPr fontId="1"/>
  </si>
  <si>
    <t>コラボ参加表明情報ID(FK)</t>
    <phoneticPr fontId="1"/>
  </si>
  <si>
    <t>date</t>
    <phoneticPr fontId="1"/>
  </si>
  <si>
    <t>ユーザーID(FK)</t>
    <phoneticPr fontId="1"/>
  </si>
  <si>
    <t>send_date</t>
    <phoneticPr fontId="1"/>
  </si>
  <si>
    <t>groups</t>
    <phoneticPr fontId="1"/>
  </si>
  <si>
    <t>0:自由、1:仲間のみ参加可能</t>
    <phoneticPr fontId="1"/>
  </si>
  <si>
    <t>グループ参加条件ステータス</t>
    <phoneticPr fontId="1"/>
  </si>
  <si>
    <t>グループ概要説明文</t>
    <phoneticPr fontId="1"/>
  </si>
  <si>
    <t>グループURL</t>
    <phoneticPr fontId="1"/>
  </si>
  <si>
    <t>icontag</t>
    <phoneticPr fontId="1"/>
  </si>
  <si>
    <t>caption</t>
    <phoneticPr fontId="1"/>
  </si>
  <si>
    <t>group_status</t>
    <phoneticPr fontId="1"/>
  </si>
  <si>
    <t>integer</t>
    <phoneticPr fontId="1"/>
  </si>
  <si>
    <t>text</t>
    <phoneticPr fontId="1"/>
  </si>
  <si>
    <t>groupusers</t>
    <phoneticPr fontId="1"/>
  </si>
  <si>
    <t>0:申請中、1:申請承諾(通常メンバー)、2:申請拒否、3:メンバー脱退</t>
    <phoneticPr fontId="1"/>
  </si>
  <si>
    <t>0:通常メンバー,1:リーダー</t>
    <phoneticPr fontId="1"/>
  </si>
  <si>
    <t>group_id</t>
    <phoneticPr fontId="1"/>
  </si>
  <si>
    <t>user_id</t>
    <phoneticPr fontId="1"/>
  </si>
  <si>
    <t>leader_status</t>
    <phoneticPr fontId="1"/>
  </si>
  <si>
    <t>関係コラボID(FK)</t>
    <phoneticPr fontId="1"/>
  </si>
  <si>
    <t>関係グループID(FK)</t>
    <phoneticPr fontId="1"/>
  </si>
  <si>
    <t>フィールド関係ステータス</t>
    <phoneticPr fontId="1"/>
  </si>
  <si>
    <t>0:仲間関係または1:1、1:グループチャット</t>
    <phoneticPr fontId="1"/>
  </si>
  <si>
    <t>field_status</t>
    <phoneticPr fontId="1"/>
  </si>
  <si>
    <t>integer</t>
    <phoneticPr fontId="1"/>
  </si>
  <si>
    <t>collabo_content_id</t>
    <phoneticPr fontId="1"/>
  </si>
  <si>
    <t>messagefieldusers</t>
    <phoneticPr fontId="1"/>
  </si>
  <si>
    <t>メッセージやり取りユーザーID(FK)</t>
    <phoneticPr fontId="1"/>
  </si>
  <si>
    <t>メッセージフィールドID(FK)</t>
    <phoneticPr fontId="1"/>
  </si>
  <si>
    <t>messagefield_id</t>
    <phoneticPr fontId="1"/>
  </si>
  <si>
    <t>user_id</t>
    <phoneticPr fontId="1"/>
  </si>
  <si>
    <t>メッセージフィールド情報(Messagefield)</t>
    <rPh sb="10" eb="12">
      <t>ジョウホウ</t>
    </rPh>
    <phoneticPr fontId="1"/>
  </si>
  <si>
    <t>messages</t>
    <phoneticPr fontId="1"/>
  </si>
  <si>
    <t>0: 公開、1: 非公開</t>
    <phoneticPr fontId="1"/>
  </si>
  <si>
    <t>0:不可、1:解除</t>
    <phoneticPr fontId="1"/>
  </si>
  <si>
    <t>送信元ユーザーID(FK)</t>
    <phoneticPr fontId="1"/>
  </si>
  <si>
    <t>メッセージ内容</t>
    <phoneticPr fontId="1"/>
  </si>
  <si>
    <t>html可能ステータス</t>
    <phoneticPr fontId="1"/>
  </si>
  <si>
    <t>送信日</t>
    <phoneticPr fontId="1"/>
  </si>
  <si>
    <t>user_id</t>
    <phoneticPr fontId="1"/>
  </si>
  <si>
    <t>message</t>
    <phoneticPr fontId="1"/>
  </si>
  <si>
    <t>text</t>
    <phoneticPr fontId="1"/>
  </si>
  <si>
    <t>公開ステータス</t>
    <rPh sb="0" eb="2">
      <t>コウカイ</t>
    </rPh>
    <phoneticPr fontId="1"/>
  </si>
  <si>
    <t>talk_number</t>
    <phoneticPr fontId="1"/>
  </si>
  <si>
    <t>トーク番号</t>
    <phoneticPr fontId="1"/>
  </si>
  <si>
    <t>html_status</t>
    <phoneticPr fontId="1"/>
  </si>
  <si>
    <t>0:公開、1:非公開</t>
    <phoneticPr fontId="1"/>
  </si>
  <si>
    <t>公開設定</t>
    <phoneticPr fontId="1"/>
  </si>
  <si>
    <t>添付データタグ番号</t>
    <phoneticPr fontId="1"/>
  </si>
  <si>
    <t>添付データファイル名</t>
    <phoneticPr fontId="1"/>
  </si>
  <si>
    <t>添付データ種類</t>
    <phoneticPr fontId="1"/>
  </si>
  <si>
    <t>メッセージ情報ID(FK)</t>
    <phoneticPr fontId="1"/>
  </si>
  <si>
    <t>message_id</t>
    <phoneticPr fontId="1"/>
  </si>
  <si>
    <t>type</t>
    <phoneticPr fontId="1"/>
  </si>
  <si>
    <t>integer</t>
    <phoneticPr fontId="1"/>
  </si>
  <si>
    <t>data_name</t>
    <phoneticPr fontId="1"/>
  </si>
  <si>
    <t>varchar</t>
    <phoneticPr fontId="1"/>
  </si>
  <si>
    <t>data_tag</t>
    <phoneticPr fontId="1"/>
  </si>
  <si>
    <t>integer</t>
    <phoneticPr fontId="1"/>
  </si>
  <si>
    <t>メッセージ情報(Message)</t>
    <phoneticPr fontId="1"/>
  </si>
  <si>
    <t>messagereads</t>
    <phoneticPr fontId="1"/>
  </si>
  <si>
    <t>0:未通知,1:通知済み</t>
    <phoneticPr fontId="1"/>
  </si>
  <si>
    <t>0:未読,1:既読</t>
    <phoneticPr fontId="1"/>
  </si>
  <si>
    <t>メッセージメール通知ステータス</t>
    <phoneticPr fontId="1"/>
  </si>
  <si>
    <t>message_id</t>
    <phoneticPr fontId="1"/>
  </si>
  <si>
    <t>integer</t>
    <phoneticPr fontId="1"/>
  </si>
  <si>
    <t>user_id</t>
    <phoneticPr fontId="1"/>
  </si>
  <si>
    <t>msg_mailstatus</t>
    <phoneticPr fontId="1"/>
  </si>
  <si>
    <t>メッセージ情報(Message)</t>
    <rPh sb="5" eb="7">
      <t>ジョウホウ</t>
    </rPh>
    <phoneticPr fontId="1"/>
  </si>
  <si>
    <t>送信先ユーザーID(FK)</t>
    <phoneticPr fontId="1"/>
  </si>
  <si>
    <t>振込先情報(JSON)</t>
    <phoneticPr fontId="1"/>
  </si>
  <si>
    <t>paypool_json</t>
    <phoneticPr fontId="1"/>
  </si>
  <si>
    <t>delivery_json</t>
    <phoneticPr fontId="1"/>
  </si>
  <si>
    <t>credit_json</t>
    <phoneticPr fontId="1"/>
  </si>
  <si>
    <t>タイトル</t>
    <phoneticPr fontId="1"/>
  </si>
  <si>
    <t>受注タイトル</t>
    <phoneticPr fontId="1"/>
  </si>
  <si>
    <t>販売価格(最小)</t>
    <phoneticPr fontId="1"/>
  </si>
  <si>
    <t>販売価格(最大)</t>
    <phoneticPr fontId="1"/>
  </si>
  <si>
    <t>collaboparties</t>
    <phoneticPr fontId="1"/>
  </si>
  <si>
    <t>messagefields</t>
    <phoneticPr fontId="1"/>
  </si>
  <si>
    <t>messagezips</t>
    <phoneticPr fontId="1"/>
  </si>
  <si>
    <t>ニックネーム</t>
    <phoneticPr fontId="1"/>
  </si>
  <si>
    <t>nickname</t>
    <phoneticPr fontId="1"/>
  </si>
  <si>
    <t>varchar</t>
    <phoneticPr fontId="1"/>
  </si>
  <si>
    <t>発注側ユーザーID(FK)</t>
    <rPh sb="2" eb="3">
      <t>ガワ</t>
    </rPh>
    <phoneticPr fontId="1"/>
  </si>
  <si>
    <t>受注側ユーザーID(FK)</t>
    <rPh sb="0" eb="2">
      <t>ジュチュウ</t>
    </rPh>
    <rPh sb="2" eb="3">
      <t>ガワ</t>
    </rPh>
    <phoneticPr fontId="1"/>
  </si>
  <si>
    <t>input_user_id</t>
    <phoneticPr fontId="1"/>
  </si>
  <si>
    <t>output_user_id</t>
    <phoneticPr fontId="1"/>
  </si>
  <si>
    <t>contentslikes</t>
    <phoneticPr fontId="1"/>
  </si>
  <si>
    <t>コラボ・ライブラリ共通情報ID(FK)</t>
    <rPh sb="9" eb="11">
      <t>キョウツウ</t>
    </rPh>
    <rPh sb="11" eb="13">
      <t>ジョウホウ</t>
    </rPh>
    <phoneticPr fontId="1"/>
  </si>
  <si>
    <t>integer</t>
    <phoneticPr fontId="1"/>
  </si>
  <si>
    <t>コラボ・ライブラリ共通情報(Content)</t>
    <phoneticPr fontId="1"/>
  </si>
  <si>
    <t>content_id</t>
    <phoneticPr fontId="1"/>
  </si>
  <si>
    <t>会員情報ID(FK)</t>
    <phoneticPr fontId="1"/>
  </si>
  <si>
    <t>新着メッセージ送信日</t>
    <rPh sb="0" eb="2">
      <t>シンチャク</t>
    </rPh>
    <rPh sb="7" eb="10">
      <t>ソウシンビ</t>
    </rPh>
    <phoneticPr fontId="1"/>
  </si>
  <si>
    <t>new_send_date</t>
    <phoneticPr fontId="1"/>
  </si>
  <si>
    <t>datetime</t>
    <phoneticPr fontId="1"/>
  </si>
  <si>
    <t>integer</t>
    <phoneticPr fontId="1"/>
  </si>
  <si>
    <t>他者メッセージステータス</t>
    <phoneticPr fontId="1"/>
  </si>
  <si>
    <t>msg_status</t>
    <phoneticPr fontId="1"/>
  </si>
  <si>
    <t>0:受付,1:受け付けない</t>
    <phoneticPr fontId="1"/>
  </si>
  <si>
    <t>グループ名</t>
    <phoneticPr fontId="1"/>
  </si>
  <si>
    <t>name</t>
    <phoneticPr fontId="1"/>
  </si>
  <si>
    <t>グループアイコン画像タグ</t>
    <phoneticPr fontId="1"/>
  </si>
  <si>
    <t>varchar</t>
    <phoneticPr fontId="1"/>
  </si>
  <si>
    <t>仲間申請ステータス</t>
    <phoneticPr fontId="1"/>
  </si>
  <si>
    <t>integer</t>
    <phoneticPr fontId="1"/>
  </si>
  <si>
    <t>種類ステータス</t>
    <phoneticPr fontId="1"/>
  </si>
  <si>
    <t>0:仲間,1:グループ</t>
    <phoneticPr fontId="1"/>
  </si>
  <si>
    <t>仲間グループ情報ID(FK)</t>
    <phoneticPr fontId="1"/>
  </si>
  <si>
    <t>仲間グループ情報(Group)</t>
    <phoneticPr fontId="1"/>
  </si>
  <si>
    <t>グループ権限ステータス</t>
    <phoneticPr fontId="1"/>
  </si>
  <si>
    <t>グループ申請ステータス</t>
    <phoneticPr fontId="1"/>
  </si>
  <si>
    <t>仲間ステータス</t>
    <phoneticPr fontId="1"/>
  </si>
  <si>
    <t>friend_status</t>
    <phoneticPr fontId="1"/>
  </si>
  <si>
    <t>friend_type</t>
    <phoneticPr fontId="1"/>
  </si>
  <si>
    <t>status</t>
    <phoneticPr fontId="1"/>
  </si>
  <si>
    <t>0:申請中、1:申請承諾、2:申請拒否</t>
    <phoneticPr fontId="1"/>
  </si>
  <si>
    <t>group_status</t>
    <phoneticPr fontId="1"/>
  </si>
  <si>
    <t>0:受信者、1:発信者</t>
    <phoneticPr fontId="1"/>
  </si>
  <si>
    <t>0:添付データ、1:画像</t>
    <phoneticPr fontId="1"/>
  </si>
  <si>
    <t>メッセージ内容(一覧表示用)</t>
    <phoneticPr fontId="1"/>
  </si>
  <si>
    <t>message_short</t>
    <phoneticPr fontId="1"/>
  </si>
  <si>
    <t>text</t>
    <phoneticPr fontId="1"/>
  </si>
  <si>
    <t>html等を外したショート文(100文字以内)</t>
    <rPh sb="4" eb="5">
      <t>ナド</t>
    </rPh>
    <rPh sb="6" eb="7">
      <t>ハズ</t>
    </rPh>
    <rPh sb="13" eb="14">
      <t>ブン</t>
    </rPh>
    <rPh sb="18" eb="20">
      <t>モジ</t>
    </rPh>
    <rPh sb="20" eb="22">
      <t>イナイ</t>
    </rPh>
    <phoneticPr fontId="1"/>
  </si>
  <si>
    <t>アイコン画像タグ</t>
    <rPh sb="4" eb="6">
      <t>ガゾウ</t>
    </rPh>
    <phoneticPr fontId="1"/>
  </si>
  <si>
    <t>icontag</t>
    <phoneticPr fontId="1"/>
  </si>
  <si>
    <t>varchar</t>
    <phoneticPr fontId="1"/>
  </si>
  <si>
    <t>コラボス(2017年1月改定)デフォルト</t>
    <rPh sb="9" eb="10">
      <t>ネン</t>
    </rPh>
    <rPh sb="11" eb="12">
      <t>ガツ</t>
    </rPh>
    <rPh sb="12" eb="14">
      <t>カイテイ</t>
    </rPh>
    <phoneticPr fontId="1"/>
  </si>
  <si>
    <t>テーブル名</t>
    <rPh sb="4" eb="5">
      <t>メイ</t>
    </rPh>
    <phoneticPr fontId="1"/>
  </si>
  <si>
    <t>collaboparties</t>
  </si>
  <si>
    <t>orders</t>
  </si>
  <si>
    <t>orderclaims</t>
  </si>
  <si>
    <t>groups</t>
  </si>
  <si>
    <t>groupusers</t>
  </si>
  <si>
    <t>messagefields</t>
  </si>
  <si>
    <t>messagefieldusers</t>
  </si>
  <si>
    <t>messages</t>
  </si>
  <si>
    <t>messagezips</t>
  </si>
  <si>
    <t>messagereads</t>
  </si>
  <si>
    <t>会員情報'!A1</t>
  </si>
  <si>
    <t>ユーザーオプション情報'!A1</t>
  </si>
  <si>
    <t>お気に入り情報'!A1</t>
  </si>
  <si>
    <t>コラボ・ライブラリ共通情報'!A1</t>
  </si>
  <si>
    <t>追加コンテンツ情報'!A1</t>
  </si>
  <si>
    <t>ライブラリ受注受付設定'!A1</t>
  </si>
  <si>
    <t>コラボ参加表明受付設定'!A1</t>
  </si>
  <si>
    <t>コラボ参加表明情報'!A1</t>
  </si>
  <si>
    <t>注文情報'!A1</t>
  </si>
  <si>
    <t>振込情報'!A1</t>
  </si>
  <si>
    <t>仲間・グループ情報'!A1</t>
  </si>
  <si>
    <t>仲間グループユーザー情報'!A1</t>
  </si>
  <si>
    <t>メッセージフィールド情報'!A1</t>
  </si>
  <si>
    <t>メッセージフィールドユーザー情報'!A1</t>
  </si>
  <si>
    <t>メッセージ情報'!A1</t>
  </si>
  <si>
    <t>メッセージ添付データ情報'!A1</t>
  </si>
  <si>
    <t>メッセージ未読既読情報'!A1</t>
  </si>
  <si>
    <t>ordergroups</t>
  </si>
  <si>
    <t>受注グループ情報'!A1</t>
  </si>
  <si>
    <t>users</t>
    <phoneticPr fontId="1"/>
  </si>
  <si>
    <t>useroptions</t>
    <phoneticPr fontId="1"/>
  </si>
  <si>
    <t>contentslikes</t>
    <phoneticPr fontId="1"/>
  </si>
  <si>
    <t>contents</t>
    <phoneticPr fontId="1"/>
  </si>
  <si>
    <t>additems</t>
    <phoneticPr fontId="1"/>
  </si>
  <si>
    <t>libraryordersets</t>
    <phoneticPr fontId="1"/>
  </si>
  <si>
    <t>collabopartysets</t>
    <phoneticPr fontId="1"/>
  </si>
  <si>
    <t>希望価格</t>
    <phoneticPr fontId="1"/>
  </si>
  <si>
    <t>integer</t>
    <phoneticPr fontId="1"/>
  </si>
  <si>
    <t>管理用メモ</t>
    <rPh sb="0" eb="2">
      <t>カンリ</t>
    </rPh>
    <rPh sb="2" eb="3">
      <t>ヨウ</t>
    </rPh>
    <phoneticPr fontId="1"/>
  </si>
  <si>
    <t>text</t>
    <phoneticPr fontId="1"/>
  </si>
  <si>
    <t>手数料</t>
    <rPh sb="0" eb="3">
      <t>テスウリョウ</t>
    </rPh>
    <phoneticPr fontId="1"/>
  </si>
  <si>
    <t>希望金額</t>
    <rPh sb="0" eb="2">
      <t>キボウ</t>
    </rPh>
    <rPh sb="2" eb="4">
      <t>キンガク</t>
    </rPh>
    <phoneticPr fontId="1"/>
  </si>
  <si>
    <t>※現行の希望金額(hope_price)を発注金額にする</t>
    <rPh sb="1" eb="3">
      <t>ゲンコウ</t>
    </rPh>
    <rPh sb="4" eb="6">
      <t>キボウ</t>
    </rPh>
    <rPh sb="6" eb="8">
      <t>キンガク</t>
    </rPh>
    <rPh sb="21" eb="23">
      <t>ハッチュウ</t>
    </rPh>
    <rPh sb="23" eb="25">
      <t>キンガク</t>
    </rPh>
    <phoneticPr fontId="1"/>
  </si>
  <si>
    <t>支払請求日</t>
    <rPh sb="0" eb="2">
      <t>シハライ</t>
    </rPh>
    <rPh sb="2" eb="5">
      <t>セイキュウビ</t>
    </rPh>
    <phoneticPr fontId="1"/>
  </si>
  <si>
    <t>支払確認日</t>
    <rPh sb="0" eb="2">
      <t>シハライ</t>
    </rPh>
    <rPh sb="2" eb="4">
      <t>カクニン</t>
    </rPh>
    <rPh sb="4" eb="5">
      <t>ビ</t>
    </rPh>
    <phoneticPr fontId="1"/>
  </si>
  <si>
    <t>datetime</t>
    <phoneticPr fontId="1"/>
  </si>
  <si>
    <t>クレジット決済情報(JSON)</t>
    <phoneticPr fontId="1"/>
  </si>
  <si>
    <t>credit_json</t>
    <phoneticPr fontId="1"/>
  </si>
  <si>
    <t>text</t>
    <phoneticPr fontId="1"/>
  </si>
  <si>
    <t>支払方法</t>
    <phoneticPr fontId="1"/>
  </si>
  <si>
    <t>payment</t>
    <phoneticPr fontId="1"/>
  </si>
  <si>
    <t>integer</t>
    <phoneticPr fontId="1"/>
  </si>
  <si>
    <t>1:クレジット決済、2::銀行振込</t>
    <rPh sb="7" eb="9">
      <t>ケッサイ</t>
    </rPh>
    <rPh sb="13" eb="15">
      <t>ギンコウ</t>
    </rPh>
    <rPh sb="15" eb="16">
      <t>フ</t>
    </rPh>
    <rPh sb="16" eb="17">
      <t>コ</t>
    </rPh>
    <phoneticPr fontId="1"/>
  </si>
  <si>
    <t>支払ステータス</t>
    <rPh sb="0" eb="2">
      <t>シハライ</t>
    </rPh>
    <phoneticPr fontId="1"/>
  </si>
  <si>
    <t>payment_status</t>
    <phoneticPr fontId="1"/>
  </si>
  <si>
    <t>0:未支払,1:請求中,2:支払済み</t>
    <rPh sb="2" eb="3">
      <t>ミ</t>
    </rPh>
    <rPh sb="3" eb="5">
      <t>シハライ</t>
    </rPh>
    <rPh sb="8" eb="11">
      <t>セイキュウチュウ</t>
    </rPh>
    <rPh sb="14" eb="16">
      <t>シハライ</t>
    </rPh>
    <rPh sb="16" eb="17">
      <t>ズ</t>
    </rPh>
    <phoneticPr fontId="1"/>
  </si>
  <si>
    <t>振込依頼日</t>
    <rPh sb="0" eb="2">
      <t>フリコミ</t>
    </rPh>
    <rPh sb="2" eb="4">
      <t>イライ</t>
    </rPh>
    <rPh sb="4" eb="5">
      <t>ビ</t>
    </rPh>
    <phoneticPr fontId="1"/>
  </si>
  <si>
    <t>振込完了日</t>
    <rPh sb="0" eb="2">
      <t>フリコミ</t>
    </rPh>
    <rPh sb="2" eb="4">
      <t>カンリョウ</t>
    </rPh>
    <rPh sb="4" eb="5">
      <t>ビ</t>
    </rPh>
    <phoneticPr fontId="1"/>
  </si>
  <si>
    <t>%で記述</t>
    <rPh sb="2" eb="4">
      <t>キジュツ</t>
    </rPh>
    <phoneticPr fontId="1"/>
  </si>
  <si>
    <t>base_price</t>
    <phoneticPr fontId="1"/>
  </si>
  <si>
    <t>memo_admin</t>
    <phoneticPr fontId="1"/>
  </si>
  <si>
    <t>commission</t>
    <phoneticPr fontId="1"/>
  </si>
  <si>
    <t>支払特別権限</t>
    <rPh sb="2" eb="4">
      <t>トクベツ</t>
    </rPh>
    <rPh sb="4" eb="6">
      <t>ケンゲン</t>
    </rPh>
    <phoneticPr fontId="1"/>
  </si>
  <si>
    <t>special_payment_status</t>
    <phoneticPr fontId="1"/>
  </si>
  <si>
    <t>0:権限なし,1:権限あり(支払いは不要)
※上位互換性の為おいてある、</t>
    <rPh sb="2" eb="4">
      <t>ケンゲン</t>
    </rPh>
    <rPh sb="9" eb="11">
      <t>ケンゲン</t>
    </rPh>
    <rPh sb="14" eb="16">
      <t>シハライ</t>
    </rPh>
    <rPh sb="18" eb="20">
      <t>フヨウ</t>
    </rPh>
    <rPh sb="23" eb="25">
      <t>ジョウイ</t>
    </rPh>
    <rPh sb="25" eb="28">
      <t>ゴカンセイ</t>
    </rPh>
    <rPh sb="29" eb="30">
      <t>タメ</t>
    </rPh>
    <phoneticPr fontId="1"/>
  </si>
  <si>
    <t>メール送信ステータス</t>
    <rPh sb="3" eb="5">
      <t>ソウシン</t>
    </rPh>
    <phoneticPr fontId="1"/>
  </si>
  <si>
    <t>sendmail_status</t>
    <phoneticPr fontId="1"/>
  </si>
  <si>
    <t>integer</t>
    <phoneticPr fontId="1"/>
  </si>
  <si>
    <t>0:送信済み(自動),1:未送信(手動),2:送信済み(手動)</t>
    <phoneticPr fontId="1"/>
  </si>
  <si>
    <t>検品日.</t>
    <rPh sb="0" eb="2">
      <t>ケンピン</t>
    </rPh>
    <rPh sb="2" eb="3">
      <t>ビ</t>
    </rPh>
    <phoneticPr fontId="1"/>
  </si>
  <si>
    <t>pre_forward_date</t>
    <phoneticPr fontId="1"/>
  </si>
  <si>
    <t>order_date</t>
    <phoneticPr fontId="1"/>
  </si>
  <si>
    <t>forward_date</t>
    <phoneticPr fontId="1"/>
  </si>
  <si>
    <t>payment_exitdate</t>
    <phoneticPr fontId="1"/>
  </si>
  <si>
    <t>payment_startdate</t>
    <phoneticPr fontId="1"/>
  </si>
  <si>
    <t>claim_startdate</t>
    <phoneticPr fontId="1"/>
  </si>
  <si>
    <t>claim_exitdate</t>
    <phoneticPr fontId="1"/>
  </si>
  <si>
    <t>利用可能ステータス</t>
    <rPh sb="0" eb="2">
      <t>リヨウ</t>
    </rPh>
    <rPh sb="2" eb="4">
      <t>カノウ</t>
    </rPh>
    <phoneticPr fontId="1"/>
  </si>
  <si>
    <t>status</t>
    <phoneticPr fontId="1"/>
  </si>
  <si>
    <t>integer</t>
    <phoneticPr fontId="1"/>
  </si>
  <si>
    <t>0:利用可能,1:利用停止</t>
    <rPh sb="2" eb="4">
      <t>リヨウ</t>
    </rPh>
    <rPh sb="4" eb="6">
      <t>カノウ</t>
    </rPh>
    <rPh sb="9" eb="11">
      <t>リヨウ</t>
    </rPh>
    <rPh sb="11" eb="13">
      <t>テイシ</t>
    </rPh>
    <phoneticPr fontId="1"/>
  </si>
  <si>
    <t>0:公開、1:会員のみ、2:友達のみ、3:非公開</t>
    <phoneticPr fontId="1"/>
  </si>
  <si>
    <t>期間終了</t>
    <rPh sb="0" eb="2">
      <t>キカン</t>
    </rPh>
    <rPh sb="2" eb="4">
      <t>シュウリョウ</t>
    </rPh>
    <phoneticPr fontId="1"/>
  </si>
  <si>
    <t>exit_library</t>
    <phoneticPr fontId="1"/>
  </si>
  <si>
    <t>integer</t>
    <phoneticPr fontId="1"/>
  </si>
  <si>
    <t>0：なし,1:終了</t>
    <rPh sb="7" eb="9">
      <t>シュウリョウ</t>
    </rPh>
    <phoneticPr fontId="1"/>
  </si>
  <si>
    <t>exit_collabo</t>
    <phoneticPr fontId="1"/>
  </si>
  <si>
    <t>collabo_chat_status</t>
    <phoneticPr fontId="1"/>
  </si>
  <si>
    <t>コラボチャット用申請ステータス</t>
    <phoneticPr fontId="1"/>
  </si>
  <si>
    <t>0:承認済みまたはスルー,1:申請中,2:拒否</t>
    <rPh sb="2" eb="4">
      <t>ショウニン</t>
    </rPh>
    <rPh sb="4" eb="5">
      <t>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</si>
</sst>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6" borderId="0" xfId="0" applyFont="1" applyFill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4" fillId="6" borderId="1" xfId="0" applyFont="1" applyFill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8" fillId="0" borderId="1" xfId="1" quotePrefix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14" fontId="4" fillId="0" borderId="3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left" vertical="center"/>
    </xf>
    <xf numFmtId="0" fontId="4" fillId="6" borderId="3" xfId="0" applyFont="1" applyFill="1" applyBorder="1" applyAlignment="1">
      <alignment horizontal="left" vertical="center"/>
    </xf>
    <xf numFmtId="0" fontId="4" fillId="6" borderId="4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 wrapText="1"/>
    </xf>
    <xf numFmtId="0" fontId="4" fillId="6" borderId="2" xfId="0" applyFont="1" applyFill="1" applyBorder="1" applyAlignment="1">
      <alignment horizontal="left" vertical="center" wrapText="1"/>
    </xf>
    <xf numFmtId="0" fontId="4" fillId="6" borderId="2" xfId="0" applyFont="1" applyFill="1" applyBorder="1" applyAlignment="1">
      <alignment vertical="center"/>
    </xf>
    <xf numFmtId="0" fontId="4" fillId="6" borderId="3" xfId="0" applyFont="1" applyFill="1" applyBorder="1" applyAlignment="1">
      <alignment vertical="center"/>
    </xf>
    <xf numFmtId="0" fontId="4" fillId="6" borderId="4" xfId="0" applyFont="1" applyFill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22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E3EB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13</xdr:row>
      <xdr:rowOff>0</xdr:rowOff>
    </xdr:from>
    <xdr:to>
      <xdr:col>12</xdr:col>
      <xdr:colOff>85725</xdr:colOff>
      <xdr:row>17</xdr:row>
      <xdr:rowOff>19050</xdr:rowOff>
    </xdr:to>
    <xdr:sp macro="" textlink="">
      <xdr:nvSpPr>
        <xdr:cNvPr id="3" name="TITLE"/>
        <xdr:cNvSpPr/>
      </xdr:nvSpPr>
      <xdr:spPr>
        <a:xfrm>
          <a:off x="981075" y="2228850"/>
          <a:ext cx="7334250" cy="704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データベース定義書・</a:t>
          </a:r>
          <a:r>
            <a:rPr kumimoji="1" lang="en-US" altLang="ja-JP" sz="2000"/>
            <a:t>E-R</a:t>
          </a:r>
          <a:r>
            <a:rPr kumimoji="1" lang="ja-JP" altLang="en-US" sz="2000"/>
            <a:t>図</a:t>
          </a:r>
          <a:endParaRPr kumimoji="1" lang="en-US" altLang="ja-JP" sz="2000"/>
        </a:p>
      </xdr:txBody>
    </xdr:sp>
    <xdr:clientData/>
  </xdr:twoCellAnchor>
  <xdr:twoCellAnchor>
    <xdr:from>
      <xdr:col>1</xdr:col>
      <xdr:colOff>295275</xdr:colOff>
      <xdr:row>17</xdr:row>
      <xdr:rowOff>19050</xdr:rowOff>
    </xdr:from>
    <xdr:to>
      <xdr:col>12</xdr:col>
      <xdr:colOff>85725</xdr:colOff>
      <xdr:row>23</xdr:row>
      <xdr:rowOff>47625</xdr:rowOff>
    </xdr:to>
    <xdr:sp macro="" textlink="">
      <xdr:nvSpPr>
        <xdr:cNvPr id="4" name="TITLE"/>
        <xdr:cNvSpPr/>
      </xdr:nvSpPr>
      <xdr:spPr>
        <a:xfrm>
          <a:off x="981075" y="2933700"/>
          <a:ext cx="7334250" cy="10572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en-US" altLang="ja-JP" sz="2000"/>
        </a:p>
      </xdr:txBody>
    </xdr:sp>
    <xdr:clientData/>
  </xdr:twoCellAnchor>
  <xdr:twoCellAnchor>
    <xdr:from>
      <xdr:col>1</xdr:col>
      <xdr:colOff>466725</xdr:colOff>
      <xdr:row>17</xdr:row>
      <xdr:rowOff>152401</xdr:rowOff>
    </xdr:from>
    <xdr:to>
      <xdr:col>4</xdr:col>
      <xdr:colOff>9525</xdr:colOff>
      <xdr:row>20</xdr:row>
      <xdr:rowOff>1</xdr:rowOff>
    </xdr:to>
    <xdr:sp macro="" textlink="">
      <xdr:nvSpPr>
        <xdr:cNvPr id="5" name="テキスト ボックス 4"/>
        <xdr:cNvSpPr txBox="1"/>
      </xdr:nvSpPr>
      <xdr:spPr>
        <a:xfrm>
          <a:off x="1152525" y="3067051"/>
          <a:ext cx="16002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400" b="1">
              <a:effectLst/>
            </a:rPr>
            <a:t>タイトル 　　　　</a:t>
          </a:r>
          <a:r>
            <a:rPr lang="ja-JP" altLang="en-US" sz="1400" b="1" baseline="0">
              <a:effectLst/>
            </a:rPr>
            <a:t> </a:t>
          </a:r>
          <a:r>
            <a:rPr lang="ja-JP" altLang="en-US" sz="1400" b="1">
              <a:effectLst/>
            </a:rPr>
            <a:t>　</a:t>
          </a:r>
          <a:r>
            <a:rPr lang="en-US" altLang="ja-JP" sz="1400" b="1">
              <a:effectLst/>
            </a:rPr>
            <a:t>: </a:t>
          </a:r>
          <a:endParaRPr lang="ja-JP" altLang="ja-JP" sz="1400" b="1">
            <a:effectLst/>
          </a:endParaRPr>
        </a:p>
      </xdr:txBody>
    </xdr:sp>
    <xdr:clientData/>
  </xdr:twoCellAnchor>
  <xdr:twoCellAnchor>
    <xdr:from>
      <xdr:col>3</xdr:col>
      <xdr:colOff>504824</xdr:colOff>
      <xdr:row>17</xdr:row>
      <xdr:rowOff>152401</xdr:rowOff>
    </xdr:from>
    <xdr:to>
      <xdr:col>10</xdr:col>
      <xdr:colOff>19049</xdr:colOff>
      <xdr:row>20</xdr:row>
      <xdr:rowOff>1</xdr:rowOff>
    </xdr:to>
    <xdr:sp macro="" textlink="基本設定!E4">
      <xdr:nvSpPr>
        <xdr:cNvPr id="6" name="db_name"/>
        <xdr:cNvSpPr txBox="1"/>
      </xdr:nvSpPr>
      <xdr:spPr>
        <a:xfrm>
          <a:off x="2562224" y="3067051"/>
          <a:ext cx="43148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79A8BCA-69C3-4C61-8CAD-5990F3C54E39}" type="TxLink">
            <a:rPr lang="ja-JP" altLang="en-US" sz="1400" b="1" i="0" u="none" strike="noStrike">
              <a:solidFill>
                <a:srgbClr val="000000"/>
              </a:solidFill>
              <a:effectLst/>
              <a:latin typeface="ＭＳ Ｐゴシック"/>
              <a:ea typeface="ＭＳ Ｐゴシック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コラボス(2017年1月改定)デフォルト</a:t>
          </a:fld>
          <a:endParaRPr lang="ja-JP" altLang="ja-JP" sz="1400" b="1">
            <a:effectLst/>
            <a:latin typeface="ＭＳ Ｐゴシック 本文"/>
          </a:endParaRPr>
        </a:p>
      </xdr:txBody>
    </xdr:sp>
    <xdr:clientData/>
  </xdr:twoCellAnchor>
  <xdr:twoCellAnchor>
    <xdr:from>
      <xdr:col>1</xdr:col>
      <xdr:colOff>466725</xdr:colOff>
      <xdr:row>20</xdr:row>
      <xdr:rowOff>47626</xdr:rowOff>
    </xdr:from>
    <xdr:to>
      <xdr:col>4</xdr:col>
      <xdr:colOff>9525</xdr:colOff>
      <xdr:row>22</xdr:row>
      <xdr:rowOff>66676</xdr:rowOff>
    </xdr:to>
    <xdr:sp macro="" textlink="">
      <xdr:nvSpPr>
        <xdr:cNvPr id="7" name="テキスト ボックス 6"/>
        <xdr:cNvSpPr txBox="1"/>
      </xdr:nvSpPr>
      <xdr:spPr>
        <a:xfrm>
          <a:off x="1152525" y="3476626"/>
          <a:ext cx="16002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データベース名</a:t>
          </a:r>
          <a:r>
            <a:rPr kumimoji="1" lang="ja-JP" alt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ja-JP" altLang="ja-JP" sz="1400" b="1">
            <a:effectLst/>
          </a:endParaRPr>
        </a:p>
      </xdr:txBody>
    </xdr:sp>
    <xdr:clientData/>
  </xdr:twoCellAnchor>
  <xdr:twoCellAnchor>
    <xdr:from>
      <xdr:col>3</xdr:col>
      <xdr:colOff>504824</xdr:colOff>
      <xdr:row>20</xdr:row>
      <xdr:rowOff>47626</xdr:rowOff>
    </xdr:from>
    <xdr:to>
      <xdr:col>10</xdr:col>
      <xdr:colOff>19049</xdr:colOff>
      <xdr:row>22</xdr:row>
      <xdr:rowOff>66676</xdr:rowOff>
    </xdr:to>
    <xdr:sp macro="" textlink="基本設定!E5">
      <xdr:nvSpPr>
        <xdr:cNvPr id="8" name="db_name"/>
        <xdr:cNvSpPr txBox="1"/>
      </xdr:nvSpPr>
      <xdr:spPr>
        <a:xfrm>
          <a:off x="2562224" y="3476626"/>
          <a:ext cx="43148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2602A0-3246-4163-97B9-BFBE2BCB661D}" type="TxLink">
            <a:rPr lang="en-US" altLang="en-US" sz="1400" b="1" i="0" u="none" strike="noStrike">
              <a:solidFill>
                <a:srgbClr val="000000"/>
              </a:solidFill>
              <a:effectLst/>
              <a:latin typeface="ＭＳ Ｐゴシック"/>
              <a:ea typeface="ＭＳ Ｐゴシック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collabos_ver2</a:t>
          </a:fld>
          <a:endParaRPr lang="ja-JP" altLang="ja-JP" sz="1400" b="1">
            <a:effectLst/>
            <a:latin typeface="ＭＳ Ｐゴシック 本文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4</xdr:row>
      <xdr:rowOff>76200</xdr:rowOff>
    </xdr:from>
    <xdr:to>
      <xdr:col>5</xdr:col>
      <xdr:colOff>123825</xdr:colOff>
      <xdr:row>34</xdr:row>
      <xdr:rowOff>268941</xdr:rowOff>
    </xdr:to>
    <xdr:sp macro="" textlink="">
      <xdr:nvSpPr>
        <xdr:cNvPr id="22" name="正方形/長方形 21"/>
        <xdr:cNvSpPr/>
      </xdr:nvSpPr>
      <xdr:spPr>
        <a:xfrm>
          <a:off x="285750" y="748553"/>
          <a:ext cx="3255869" cy="523538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12</xdr:col>
          <xdr:colOff>152400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62</xdr:col>
      <xdr:colOff>608240</xdr:colOff>
      <xdr:row>4</xdr:row>
      <xdr:rowOff>95248</xdr:rowOff>
    </xdr:from>
    <xdr:to>
      <xdr:col>80</xdr:col>
      <xdr:colOff>512124</xdr:colOff>
      <xdr:row>138</xdr:row>
      <xdr:rowOff>171449</xdr:rowOff>
    </xdr:to>
    <xdr:sp macro="" textlink="">
      <xdr:nvSpPr>
        <xdr:cNvPr id="1297" name="正方形/長方形 1296"/>
        <xdr:cNvSpPr/>
      </xdr:nvSpPr>
      <xdr:spPr>
        <a:xfrm>
          <a:off x="43127840" y="781048"/>
          <a:ext cx="12248284" cy="23221951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ysClr val="windowText" lastClr="000000"/>
              </a:solidFill>
            </a:rPr>
            <a:t>その他管理</a:t>
          </a:r>
        </a:p>
      </xdr:txBody>
    </xdr:sp>
    <xdr:clientData/>
  </xdr:twoCellAnchor>
  <xdr:twoCellAnchor>
    <xdr:from>
      <xdr:col>42</xdr:col>
      <xdr:colOff>159204</xdr:colOff>
      <xdr:row>3</xdr:row>
      <xdr:rowOff>19050</xdr:rowOff>
    </xdr:from>
    <xdr:to>
      <xdr:col>60</xdr:col>
      <xdr:colOff>54429</xdr:colOff>
      <xdr:row>82</xdr:row>
      <xdr:rowOff>11206</xdr:rowOff>
    </xdr:to>
    <xdr:sp macro="" textlink="">
      <xdr:nvSpPr>
        <xdr:cNvPr id="1298" name="正方形/長方形 1297"/>
        <xdr:cNvSpPr/>
      </xdr:nvSpPr>
      <xdr:spPr>
        <a:xfrm>
          <a:off x="28868675" y="523315"/>
          <a:ext cx="12199283" cy="1345042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ysClr val="windowText" lastClr="000000"/>
              </a:solidFill>
            </a:rPr>
            <a:t>受注管理</a:t>
          </a:r>
        </a:p>
      </xdr:txBody>
    </xdr:sp>
    <xdr:clientData/>
  </xdr:twoCellAnchor>
  <xdr:twoCellAnchor>
    <xdr:from>
      <xdr:col>6</xdr:col>
      <xdr:colOff>490846</xdr:colOff>
      <xdr:row>120</xdr:row>
      <xdr:rowOff>2099</xdr:rowOff>
    </xdr:from>
    <xdr:to>
      <xdr:col>23</xdr:col>
      <xdr:colOff>387804</xdr:colOff>
      <xdr:row>170</xdr:row>
      <xdr:rowOff>188729</xdr:rowOff>
    </xdr:to>
    <xdr:sp macro="" textlink="">
      <xdr:nvSpPr>
        <xdr:cNvPr id="1299" name="正方形/長方形 1298"/>
        <xdr:cNvSpPr/>
      </xdr:nvSpPr>
      <xdr:spPr>
        <a:xfrm>
          <a:off x="4491346" y="23052599"/>
          <a:ext cx="11231708" cy="971163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568779</xdr:colOff>
      <xdr:row>77</xdr:row>
      <xdr:rowOff>99082</xdr:rowOff>
    </xdr:from>
    <xdr:to>
      <xdr:col>22</xdr:col>
      <xdr:colOff>225879</xdr:colOff>
      <xdr:row>118</xdr:row>
      <xdr:rowOff>0</xdr:rowOff>
    </xdr:to>
    <xdr:sp macro="" textlink="">
      <xdr:nvSpPr>
        <xdr:cNvPr id="1300" name="正方形/長方形 1299"/>
        <xdr:cNvSpPr/>
      </xdr:nvSpPr>
      <xdr:spPr>
        <a:xfrm>
          <a:off x="4683579" y="13472182"/>
          <a:ext cx="10629900" cy="6930368"/>
        </a:xfrm>
        <a:prstGeom prst="rect">
          <a:avLst/>
        </a:prstGeom>
        <a:solidFill>
          <a:srgbClr val="D4F8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625929</xdr:colOff>
      <xdr:row>24</xdr:row>
      <xdr:rowOff>18120</xdr:rowOff>
    </xdr:from>
    <xdr:to>
      <xdr:col>41</xdr:col>
      <xdr:colOff>268742</xdr:colOff>
      <xdr:row>206</xdr:row>
      <xdr:rowOff>99082</xdr:rowOff>
    </xdr:to>
    <xdr:sp macro="" textlink="">
      <xdr:nvSpPr>
        <xdr:cNvPr id="1301" name="正方形/長方形 1300"/>
        <xdr:cNvSpPr/>
      </xdr:nvSpPr>
      <xdr:spPr>
        <a:xfrm>
          <a:off x="15961179" y="4590120"/>
          <a:ext cx="11644313" cy="3494246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206829</xdr:colOff>
      <xdr:row>123</xdr:row>
      <xdr:rowOff>99081</xdr:rowOff>
    </xdr:from>
    <xdr:to>
      <xdr:col>40</xdr:col>
      <xdr:colOff>387804</xdr:colOff>
      <xdr:row>201</xdr:row>
      <xdr:rowOff>123825</xdr:rowOff>
    </xdr:to>
    <xdr:sp macro="" textlink="">
      <xdr:nvSpPr>
        <xdr:cNvPr id="1302" name="正方形/長方形 1301"/>
        <xdr:cNvSpPr/>
      </xdr:nvSpPr>
      <xdr:spPr>
        <a:xfrm>
          <a:off x="20780829" y="21358881"/>
          <a:ext cx="7038975" cy="13397844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206829</xdr:colOff>
      <xdr:row>63</xdr:row>
      <xdr:rowOff>175281</xdr:rowOff>
    </xdr:from>
    <xdr:to>
      <xdr:col>39</xdr:col>
      <xdr:colOff>483054</xdr:colOff>
      <xdr:row>121</xdr:row>
      <xdr:rowOff>27364</xdr:rowOff>
    </xdr:to>
    <xdr:sp macro="" textlink="">
      <xdr:nvSpPr>
        <xdr:cNvPr id="1303" name="正方形/長方形 1302"/>
        <xdr:cNvSpPr/>
      </xdr:nvSpPr>
      <xdr:spPr>
        <a:xfrm>
          <a:off x="20209329" y="12367281"/>
          <a:ext cx="6276975" cy="1090108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283030</xdr:colOff>
      <xdr:row>6</xdr:row>
      <xdr:rowOff>99082</xdr:rowOff>
    </xdr:from>
    <xdr:to>
      <xdr:col>16</xdr:col>
      <xdr:colOff>348839</xdr:colOff>
      <xdr:row>74</xdr:row>
      <xdr:rowOff>63223</xdr:rowOff>
    </xdr:to>
    <xdr:sp macro="" textlink="">
      <xdr:nvSpPr>
        <xdr:cNvPr id="1304" name="正方形/長方形 1303"/>
        <xdr:cNvSpPr/>
      </xdr:nvSpPr>
      <xdr:spPr>
        <a:xfrm>
          <a:off x="4283530" y="1242082"/>
          <a:ext cx="6733309" cy="13108641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503464</xdr:colOff>
      <xdr:row>17</xdr:row>
      <xdr:rowOff>96520</xdr:rowOff>
    </xdr:from>
    <xdr:to>
      <xdr:col>4</xdr:col>
      <xdr:colOff>510033</xdr:colOff>
      <xdr:row>19</xdr:row>
      <xdr:rowOff>80177</xdr:rowOff>
    </xdr:to>
    <xdr:sp macro="" textlink="">
      <xdr:nvSpPr>
        <xdr:cNvPr id="1305" name="正方形/長方形 1304"/>
        <xdr:cNvSpPr/>
      </xdr:nvSpPr>
      <xdr:spPr>
        <a:xfrm>
          <a:off x="503464" y="2954020"/>
          <a:ext cx="2740804" cy="31983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共通項目</a:t>
          </a:r>
          <a:endParaRPr kumimoji="1" lang="en-US" altLang="ja-JP" sz="1100"/>
        </a:p>
      </xdr:txBody>
    </xdr:sp>
    <xdr:clientData/>
  </xdr:twoCellAnchor>
  <xdr:twoCellAnchor>
    <xdr:from>
      <xdr:col>0</xdr:col>
      <xdr:colOff>503464</xdr:colOff>
      <xdr:row>19</xdr:row>
      <xdr:rowOff>80176</xdr:rowOff>
    </xdr:from>
    <xdr:to>
      <xdr:col>4</xdr:col>
      <xdr:colOff>510033</xdr:colOff>
      <xdr:row>33</xdr:row>
      <xdr:rowOff>52259</xdr:rowOff>
    </xdr:to>
    <xdr:sp macro="" textlink="">
      <xdr:nvSpPr>
        <xdr:cNvPr id="1306" name="正方形/長方形 1305"/>
        <xdr:cNvSpPr/>
      </xdr:nvSpPr>
      <xdr:spPr>
        <a:xfrm>
          <a:off x="503464" y="3273852"/>
          <a:ext cx="2740804" cy="232531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ID(PK)</a:t>
          </a:r>
        </a:p>
        <a:p>
          <a:pPr algn="l"/>
          <a:r>
            <a:rPr kumimoji="1" lang="ja-JP" altLang="en-US" sz="1100"/>
            <a:t>・登録者ユーザーステータス</a:t>
          </a:r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(0: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</a:rPr>
            <a:t>一般、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1: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</a:rPr>
            <a:t>管理者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)</a:t>
          </a:r>
        </a:p>
        <a:p>
          <a:pPr algn="l"/>
          <a:r>
            <a:rPr kumimoji="1" lang="ja-JP" altLang="en-US" sz="1100"/>
            <a:t>・登録者ユーザー</a:t>
          </a:r>
          <a:r>
            <a:rPr kumimoji="1" lang="en-US" altLang="ja-JP" sz="1100"/>
            <a:t>ID</a:t>
          </a: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・登録日時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更新者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ユーザーステータス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一般、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管理者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更新者ユーザー</a:t>
          </a:r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ID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更新日時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・削除フラグ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(0: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未削除、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1: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削除対象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)</a:t>
          </a:r>
        </a:p>
        <a:p>
          <a:pPr algn="l"/>
          <a:endParaRPr kumimoji="1" lang="en-US" altLang="ja-JP" sz="11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24</xdr:col>
      <xdr:colOff>638911</xdr:colOff>
      <xdr:row>31</xdr:row>
      <xdr:rowOff>109968</xdr:rowOff>
    </xdr:from>
    <xdr:to>
      <xdr:col>30</xdr:col>
      <xdr:colOff>527876</xdr:colOff>
      <xdr:row>34</xdr:row>
      <xdr:rowOff>190621</xdr:rowOff>
    </xdr:to>
    <xdr:sp macro="" textlink="">
      <xdr:nvSpPr>
        <xdr:cNvPr id="1307" name="正方形/長方形 1306"/>
        <xdr:cNvSpPr/>
      </xdr:nvSpPr>
      <xdr:spPr>
        <a:xfrm>
          <a:off x="16640911" y="6015468"/>
          <a:ext cx="3889465" cy="65215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コラボ・ライブラリ共通情報</a:t>
          </a:r>
          <a:endParaRPr kumimoji="1" lang="en-US" altLang="ja-JP" sz="1100"/>
        </a:p>
        <a:p>
          <a:pPr algn="ctr"/>
          <a:r>
            <a:rPr kumimoji="1" lang="en-US" altLang="ja-JP" sz="1100"/>
            <a:t>(Content)</a:t>
          </a:r>
        </a:p>
      </xdr:txBody>
    </xdr:sp>
    <xdr:clientData/>
  </xdr:twoCellAnchor>
  <xdr:twoCellAnchor>
    <xdr:from>
      <xdr:col>24</xdr:col>
      <xdr:colOff>638911</xdr:colOff>
      <xdr:row>34</xdr:row>
      <xdr:rowOff>188321</xdr:rowOff>
    </xdr:from>
    <xdr:to>
      <xdr:col>30</xdr:col>
      <xdr:colOff>527876</xdr:colOff>
      <xdr:row>57</xdr:row>
      <xdr:rowOff>129898</xdr:rowOff>
    </xdr:to>
    <xdr:sp macro="" textlink="">
      <xdr:nvSpPr>
        <xdr:cNvPr id="1308" name="正方形/長方形 1307"/>
        <xdr:cNvSpPr/>
      </xdr:nvSpPr>
      <xdr:spPr>
        <a:xfrm>
          <a:off x="17098111" y="6017621"/>
          <a:ext cx="4003765" cy="405637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・コンテンツ情報ステータス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コラボ、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ライブラリ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・管理ユーザー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・管理グループ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・管理番号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・タイトル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会員のみ、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友達のみ、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3: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　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4: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削除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共通コンテンツカテゴリ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・パーマリンク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URL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solidFill>
                <a:sysClr val="windowText" lastClr="000000"/>
              </a:solidFill>
              <a:effectLst/>
            </a:rPr>
            <a:t>・フリースペース</a:t>
          </a:r>
          <a:r>
            <a:rPr lang="en-US" altLang="ja-JP">
              <a:solidFill>
                <a:sysClr val="windowText" lastClr="000000"/>
              </a:solidFill>
              <a:effectLst/>
            </a:rPr>
            <a:t>(</a:t>
          </a:r>
          <a:r>
            <a:rPr lang="ja-JP" altLang="en-US">
              <a:solidFill>
                <a:sysClr val="windowText" lastClr="000000"/>
              </a:solidFill>
              <a:effectLst/>
            </a:rPr>
            <a:t>概要文</a:t>
          </a:r>
          <a:r>
            <a:rPr lang="en-US" altLang="ja-JP">
              <a:solidFill>
                <a:sysClr val="windowText" lastClr="000000"/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・ショート説明文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一覧画面用</a:t>
          </a:r>
          <a:r>
            <a:rPr lang="en-US" altLang="ja-JP"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・メタタグ情報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・コラボライブラリ受付表示ソート</a:t>
          </a:r>
          <a:r>
            <a:rPr lang="en-US" altLang="ja-JP">
              <a:effectLst/>
            </a:rPr>
            <a:t>(JSON)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・登録日</a:t>
          </a:r>
          <a:endParaRPr lang="en-US" altLang="ja-JP">
            <a:effectLst/>
          </a:endParaRPr>
        </a:p>
      </xdr:txBody>
    </xdr:sp>
    <xdr:clientData/>
  </xdr:twoCellAnchor>
  <xdr:twoCellAnchor>
    <xdr:from>
      <xdr:col>33</xdr:col>
      <xdr:colOff>181711</xdr:colOff>
      <xdr:row>31</xdr:row>
      <xdr:rowOff>178004</xdr:rowOff>
    </xdr:from>
    <xdr:to>
      <xdr:col>39</xdr:col>
      <xdr:colOff>51626</xdr:colOff>
      <xdr:row>34</xdr:row>
      <xdr:rowOff>214816</xdr:rowOff>
    </xdr:to>
    <xdr:sp macro="" textlink="">
      <xdr:nvSpPr>
        <xdr:cNvPr id="1309" name="正方形/長方形 1308"/>
        <xdr:cNvSpPr/>
      </xdr:nvSpPr>
      <xdr:spPr>
        <a:xfrm>
          <a:off x="22184461" y="6083504"/>
          <a:ext cx="3870415" cy="60831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追加コンテンツ情報</a:t>
          </a:r>
          <a:endParaRPr kumimoji="1" lang="en-US" altLang="ja-JP" sz="1100"/>
        </a:p>
        <a:p>
          <a:pPr algn="ctr"/>
          <a:r>
            <a:rPr kumimoji="1" lang="en-US" altLang="ja-JP" sz="1100"/>
            <a:t>(Additem)</a:t>
          </a:r>
        </a:p>
      </xdr:txBody>
    </xdr:sp>
    <xdr:clientData/>
  </xdr:twoCellAnchor>
  <xdr:twoCellAnchor>
    <xdr:from>
      <xdr:col>33</xdr:col>
      <xdr:colOff>181711</xdr:colOff>
      <xdr:row>34</xdr:row>
      <xdr:rowOff>212516</xdr:rowOff>
    </xdr:from>
    <xdr:to>
      <xdr:col>39</xdr:col>
      <xdr:colOff>51626</xdr:colOff>
      <xdr:row>50</xdr:row>
      <xdr:rowOff>73869</xdr:rowOff>
    </xdr:to>
    <xdr:sp macro="" textlink="">
      <xdr:nvSpPr>
        <xdr:cNvPr id="1310" name="正方形/長方形 1309"/>
        <xdr:cNvSpPr/>
      </xdr:nvSpPr>
      <xdr:spPr>
        <a:xfrm>
          <a:off x="22184461" y="6689516"/>
          <a:ext cx="3870415" cy="309985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・コラボ・ライブラリ共通情報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・追加コンテンツステータス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サムネイル、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追加コンテンツ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・コンテンツ形式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画像、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動画、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2:web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画像、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3:web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コンテンツ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・コンテンツ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URL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、画像タグ番号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・ショートイメージ用タグ番号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・コンテンツ動画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用ステータス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(0:youtube</a:t>
          </a:r>
          <a:r>
            <a:rPr lang="ja-JP" altLang="en-U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1:Veoh</a:t>
          </a:r>
          <a:r>
            <a:rPr lang="ja-JP" altLang="en-U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3:</a:t>
          </a:r>
          <a:r>
            <a:rPr lang="ja-JP" altLang="en-U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ニコニコ動画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(0: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公開、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1: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会員のみ、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2: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友達のみ、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3: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非公開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・コンテンツ備考情報</a:t>
          </a:r>
          <a:endParaRPr lang="en-US" altLang="ja-JP">
            <a:effectLst/>
          </a:endParaRPr>
        </a:p>
      </xdr:txBody>
    </xdr:sp>
    <xdr:clientData/>
  </xdr:twoCellAnchor>
  <xdr:twoCellAnchor>
    <xdr:from>
      <xdr:col>30</xdr:col>
      <xdr:colOff>527876</xdr:colOff>
      <xdr:row>42</xdr:row>
      <xdr:rowOff>57468</xdr:rowOff>
    </xdr:from>
    <xdr:to>
      <xdr:col>33</xdr:col>
      <xdr:colOff>181711</xdr:colOff>
      <xdr:row>45</xdr:row>
      <xdr:rowOff>159110</xdr:rowOff>
    </xdr:to>
    <xdr:cxnSp macro="">
      <xdr:nvCxnSpPr>
        <xdr:cNvPr id="1311" name="カギ線コネクタ 1310"/>
        <xdr:cNvCxnSpPr>
          <a:stCxn id="1308" idx="3"/>
          <a:endCxn id="1310" idx="1"/>
        </xdr:cNvCxnSpPr>
      </xdr:nvCxnSpPr>
      <xdr:spPr>
        <a:xfrm flipV="1">
          <a:off x="21101876" y="7429818"/>
          <a:ext cx="1711235" cy="615992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66118</xdr:colOff>
      <xdr:row>35</xdr:row>
      <xdr:rowOff>13916</xdr:rowOff>
    </xdr:from>
    <xdr:to>
      <xdr:col>24</xdr:col>
      <xdr:colOff>638912</xdr:colOff>
      <xdr:row>45</xdr:row>
      <xdr:rowOff>159109</xdr:rowOff>
    </xdr:to>
    <xdr:cxnSp macro="">
      <xdr:nvCxnSpPr>
        <xdr:cNvPr id="1312" name="カギ線コネクタ 1311"/>
        <xdr:cNvCxnSpPr>
          <a:stCxn id="1368" idx="2"/>
          <a:endCxn id="1308" idx="1"/>
        </xdr:cNvCxnSpPr>
      </xdr:nvCxnSpPr>
      <xdr:spPr>
        <a:xfrm rot="16200000" flipH="1">
          <a:off x="10738368" y="1686066"/>
          <a:ext cx="1859693" cy="10859794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515087</xdr:colOff>
      <xdr:row>68</xdr:row>
      <xdr:rowOff>71629</xdr:rowOff>
    </xdr:from>
    <xdr:to>
      <xdr:col>36</xdr:col>
      <xdr:colOff>379559</xdr:colOff>
      <xdr:row>71</xdr:row>
      <xdr:rowOff>149823</xdr:rowOff>
    </xdr:to>
    <xdr:sp macro="" textlink="">
      <xdr:nvSpPr>
        <xdr:cNvPr id="1313" name="正方形/長方形 1312"/>
        <xdr:cNvSpPr/>
      </xdr:nvSpPr>
      <xdr:spPr>
        <a:xfrm>
          <a:off x="20517587" y="13216129"/>
          <a:ext cx="3864972" cy="64969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ライブラリ受注受付設定</a:t>
          </a:r>
          <a:endParaRPr kumimoji="1" lang="en-US" altLang="ja-JP" sz="1100"/>
        </a:p>
        <a:p>
          <a:pPr algn="ctr"/>
          <a:r>
            <a:rPr kumimoji="1" lang="en-US" altLang="ja-JP" sz="1100"/>
            <a:t>(Libraryorderset)</a:t>
          </a:r>
        </a:p>
      </xdr:txBody>
    </xdr:sp>
    <xdr:clientData/>
  </xdr:twoCellAnchor>
  <xdr:twoCellAnchor>
    <xdr:from>
      <xdr:col>30</xdr:col>
      <xdr:colOff>515087</xdr:colOff>
      <xdr:row>71</xdr:row>
      <xdr:rowOff>145122</xdr:rowOff>
    </xdr:from>
    <xdr:to>
      <xdr:col>36</xdr:col>
      <xdr:colOff>379559</xdr:colOff>
      <xdr:row>98</xdr:row>
      <xdr:rowOff>11206</xdr:rowOff>
    </xdr:to>
    <xdr:sp macro="" textlink="">
      <xdr:nvSpPr>
        <xdr:cNvPr id="1314" name="正方形/長方形 1313"/>
        <xdr:cNvSpPr/>
      </xdr:nvSpPr>
      <xdr:spPr>
        <a:xfrm>
          <a:off x="21021852" y="12258681"/>
          <a:ext cx="3965825" cy="440446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・コラボ・ライブラリ共通情報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・管理番号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・受注タイトル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3: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非公開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共通コンテンツカテゴリ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・注文可能件数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・受付期間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開始日</a:t>
          </a:r>
          <a:r>
            <a:rPr lang="en-US" altLang="ja-JP"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・受付期間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終了日</a:t>
          </a:r>
          <a:r>
            <a:rPr lang="en-US" altLang="ja-JP"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・予定納期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・販売価格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最小</a:t>
          </a:r>
          <a:r>
            <a:rPr lang="en-US" altLang="ja-JP"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・販売価格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最大</a:t>
          </a:r>
          <a:r>
            <a:rPr lang="en-US" altLang="ja-JP"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・ライブラリ提供の種類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・納品形態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・受注の概要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・発注ユーザー未読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・期間終了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en-U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なし、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en-U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終了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xdr:twoCellAnchor>
    <xdr:from>
      <xdr:col>27</xdr:col>
      <xdr:colOff>583394</xdr:colOff>
      <xdr:row>57</xdr:row>
      <xdr:rowOff>129897</xdr:rowOff>
    </xdr:from>
    <xdr:to>
      <xdr:col>30</xdr:col>
      <xdr:colOff>515087</xdr:colOff>
      <xdr:row>84</xdr:row>
      <xdr:rowOff>163888</xdr:rowOff>
    </xdr:to>
    <xdr:cxnSp macro="">
      <xdr:nvCxnSpPr>
        <xdr:cNvPr id="1315" name="カギ線コネクタ 1314"/>
        <xdr:cNvCxnSpPr>
          <a:stCxn id="1308" idx="2"/>
          <a:endCxn id="1314" idx="1"/>
        </xdr:cNvCxnSpPr>
      </xdr:nvCxnSpPr>
      <xdr:spPr>
        <a:xfrm rot="16200000" flipH="1">
          <a:off x="17762970" y="11411021"/>
          <a:ext cx="4663141" cy="1989093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648437</xdr:colOff>
      <xdr:row>127</xdr:row>
      <xdr:rowOff>51458</xdr:rowOff>
    </xdr:from>
    <xdr:to>
      <xdr:col>36</xdr:col>
      <xdr:colOff>522434</xdr:colOff>
      <xdr:row>131</xdr:row>
      <xdr:rowOff>54172</xdr:rowOff>
    </xdr:to>
    <xdr:sp macro="" textlink="">
      <xdr:nvSpPr>
        <xdr:cNvPr id="1316" name="正方形/長方形 1315"/>
        <xdr:cNvSpPr/>
      </xdr:nvSpPr>
      <xdr:spPr>
        <a:xfrm>
          <a:off x="20650937" y="24435458"/>
          <a:ext cx="3874497" cy="76471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コラボ参加表明受付設定</a:t>
          </a:r>
          <a:endParaRPr kumimoji="1" lang="en-US" altLang="ja-JP" sz="1100"/>
        </a:p>
        <a:p>
          <a:pPr algn="ctr"/>
          <a:r>
            <a:rPr kumimoji="1" lang="en-US" altLang="ja-JP" sz="1100"/>
            <a:t>(Collabopartyset)</a:t>
          </a:r>
        </a:p>
      </xdr:txBody>
    </xdr:sp>
    <xdr:clientData/>
  </xdr:twoCellAnchor>
  <xdr:twoCellAnchor>
    <xdr:from>
      <xdr:col>30</xdr:col>
      <xdr:colOff>648437</xdr:colOff>
      <xdr:row>131</xdr:row>
      <xdr:rowOff>47790</xdr:rowOff>
    </xdr:from>
    <xdr:to>
      <xdr:col>36</xdr:col>
      <xdr:colOff>522434</xdr:colOff>
      <xdr:row>150</xdr:row>
      <xdr:rowOff>184807</xdr:rowOff>
    </xdr:to>
    <xdr:sp macro="" textlink="">
      <xdr:nvSpPr>
        <xdr:cNvPr id="1317" name="正方形/長方形 1316"/>
        <xdr:cNvSpPr/>
      </xdr:nvSpPr>
      <xdr:spPr>
        <a:xfrm>
          <a:off x="20650937" y="25193790"/>
          <a:ext cx="3874497" cy="375651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・コラボ・ライブラリ共通情報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・管理番号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</a:t>
          </a:r>
          <a:r>
            <a:rPr lang="ja-JP" altLang="en-US"/>
            <a:t>参加表明タイトル</a:t>
          </a:r>
          <a:endParaRPr lang="en-US" altLang="ja-JP"/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・公開ステータス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3: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非公開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・共通コンテンツカテゴリ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・参加予定人数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・募集期間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開始日</a:t>
          </a:r>
          <a:r>
            <a:rPr lang="en-US" altLang="ja-JP"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・募集期間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終了日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・予算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最小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・予算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最大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・コラボ参加の種類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>
              <a:effectLst/>
            </a:rPr>
            <a:t>・納品形態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・参加表明の概要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・期間終了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なし、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終了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endParaRPr lang="en-US" altLang="ja-JP">
            <a:effectLst/>
          </a:endParaRPr>
        </a:p>
      </xdr:txBody>
    </xdr:sp>
    <xdr:clientData/>
  </xdr:twoCellAnchor>
  <xdr:twoCellAnchor>
    <xdr:from>
      <xdr:col>27</xdr:col>
      <xdr:colOff>583394</xdr:colOff>
      <xdr:row>57</xdr:row>
      <xdr:rowOff>129897</xdr:rowOff>
    </xdr:from>
    <xdr:to>
      <xdr:col>30</xdr:col>
      <xdr:colOff>648437</xdr:colOff>
      <xdr:row>141</xdr:row>
      <xdr:rowOff>25810</xdr:rowOff>
    </xdr:to>
    <xdr:cxnSp macro="">
      <xdr:nvCxnSpPr>
        <xdr:cNvPr id="1318" name="カギ線コネクタ 1317"/>
        <xdr:cNvCxnSpPr>
          <a:stCxn id="1308" idx="2"/>
          <a:endCxn id="1317" idx="1"/>
        </xdr:cNvCxnSpPr>
      </xdr:nvCxnSpPr>
      <xdr:spPr>
        <a:xfrm rot="16200000" flipH="1">
          <a:off x="13012359" y="16161632"/>
          <a:ext cx="14297713" cy="2122443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294530</xdr:colOff>
      <xdr:row>5</xdr:row>
      <xdr:rowOff>36330</xdr:rowOff>
    </xdr:from>
    <xdr:to>
      <xdr:col>49</xdr:col>
      <xdr:colOff>159002</xdr:colOff>
      <xdr:row>8</xdr:row>
      <xdr:rowOff>161914</xdr:rowOff>
    </xdr:to>
    <xdr:sp macro="" textlink="">
      <xdr:nvSpPr>
        <xdr:cNvPr id="1319" name="正方形/長方形 1318"/>
        <xdr:cNvSpPr/>
      </xdr:nvSpPr>
      <xdr:spPr>
        <a:xfrm>
          <a:off x="29687559" y="876771"/>
          <a:ext cx="3965825" cy="62984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受注情報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(Order)</a:t>
          </a:r>
        </a:p>
      </xdr:txBody>
    </xdr:sp>
    <xdr:clientData/>
  </xdr:twoCellAnchor>
  <xdr:twoCellAnchor>
    <xdr:from>
      <xdr:col>43</xdr:col>
      <xdr:colOff>294530</xdr:colOff>
      <xdr:row>8</xdr:row>
      <xdr:rowOff>158892</xdr:rowOff>
    </xdr:from>
    <xdr:to>
      <xdr:col>49</xdr:col>
      <xdr:colOff>159002</xdr:colOff>
      <xdr:row>60</xdr:row>
      <xdr:rowOff>89647</xdr:rowOff>
    </xdr:to>
    <xdr:sp macro="" textlink="">
      <xdr:nvSpPr>
        <xdr:cNvPr id="1320" name="正方形/長方形 1319"/>
        <xdr:cNvSpPr/>
      </xdr:nvSpPr>
      <xdr:spPr>
        <a:xfrm>
          <a:off x="29687559" y="1503598"/>
          <a:ext cx="3965825" cy="885063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・注文管理番号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・ライブラリ受注受付設定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・コラボ参加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表明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情報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</a:t>
          </a:r>
          <a:r>
            <a:rPr lang="ja-JP" altLang="en-US" b="0">
              <a:effectLst/>
            </a:rPr>
            <a:t>発注側ユーザー</a:t>
          </a:r>
          <a:r>
            <a:rPr lang="en-US" altLang="ja-JP" b="0">
              <a:effectLst/>
            </a:rPr>
            <a:t>ID(FK)</a:t>
          </a:r>
        </a:p>
        <a:p>
          <a:pPr eaLnBrk="1" fontAlgn="auto" latinLnBrk="0" hangingPunct="1"/>
          <a:r>
            <a:rPr lang="ja-JP" altLang="en-US" b="0">
              <a:effectLst/>
            </a:rPr>
            <a:t>・受注側ユーザー</a:t>
          </a:r>
          <a:r>
            <a:rPr lang="en-US" altLang="ja-JP" b="0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・希望納期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・発注個数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・希望金額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・発注金額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・管理者用メモ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・手数料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・支払特別権限</a:t>
          </a: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権限なし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権限あり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支払い不要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・メール送信ステータス</a:t>
          </a: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送信済み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自動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未送信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手動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),2: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送信済み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手動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・注文</a:t>
          </a: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ステータス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キー</a:t>
          </a:r>
          <a:endParaRPr lang="en-US" altLang="ja-JP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・配送先情報</a:t>
          </a:r>
          <a:r>
            <a:rPr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(JSON)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・その他備考</a:t>
          </a:r>
          <a:endParaRPr lang="ja-JP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・発注日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・納品日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・検品日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・支払請求日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・支払確認日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・振込依頼日</a:t>
          </a:r>
          <a:endParaRPr lang="ja-JP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・振込完了日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・支払方法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クレジット決済、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銀行振込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・クレジット決済情報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(JSON)</a:t>
          </a:r>
          <a:endParaRPr lang="ja-JP" altLang="ja-JP">
            <a:effectLst/>
          </a:endParaRPr>
        </a:p>
      </xdr:txBody>
    </xdr:sp>
    <xdr:clientData/>
  </xdr:twoCellAnchor>
  <xdr:twoCellAnchor>
    <xdr:from>
      <xdr:col>36</xdr:col>
      <xdr:colOff>379559</xdr:colOff>
      <xdr:row>34</xdr:row>
      <xdr:rowOff>213917</xdr:rowOff>
    </xdr:from>
    <xdr:to>
      <xdr:col>43</xdr:col>
      <xdr:colOff>294530</xdr:colOff>
      <xdr:row>84</xdr:row>
      <xdr:rowOff>162208</xdr:rowOff>
    </xdr:to>
    <xdr:cxnSp macro="">
      <xdr:nvCxnSpPr>
        <xdr:cNvPr id="1321" name="カギ線コネクタ 1320"/>
        <xdr:cNvCxnSpPr>
          <a:stCxn id="1314" idx="3"/>
          <a:endCxn id="1320" idx="1"/>
        </xdr:cNvCxnSpPr>
      </xdr:nvCxnSpPr>
      <xdr:spPr>
        <a:xfrm flipV="1">
          <a:off x="24987677" y="5928917"/>
          <a:ext cx="4699882" cy="8531997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39996</xdr:colOff>
      <xdr:row>39</xdr:row>
      <xdr:rowOff>77276</xdr:rowOff>
    </xdr:from>
    <xdr:to>
      <xdr:col>56</xdr:col>
      <xdr:colOff>145677</xdr:colOff>
      <xdr:row>42</xdr:row>
      <xdr:rowOff>128780</xdr:rowOff>
    </xdr:to>
    <xdr:sp macro="" textlink="">
      <xdr:nvSpPr>
        <xdr:cNvPr id="1322" name="正方形/長方形 1321"/>
        <xdr:cNvSpPr/>
      </xdr:nvSpPr>
      <xdr:spPr>
        <a:xfrm>
          <a:off x="35585055" y="6812011"/>
          <a:ext cx="2839916" cy="55576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注文ログ</a:t>
          </a:r>
          <a:endParaRPr kumimoji="1" lang="en-US" altLang="ja-JP" sz="1100"/>
        </a:p>
        <a:p>
          <a:pPr algn="ctr"/>
          <a:r>
            <a:rPr kumimoji="1" lang="en-US" altLang="ja-JP" sz="1100"/>
            <a:t>(Orderlog)</a:t>
          </a:r>
        </a:p>
      </xdr:txBody>
    </xdr:sp>
    <xdr:clientData/>
  </xdr:twoCellAnchor>
  <xdr:twoCellAnchor>
    <xdr:from>
      <xdr:col>52</xdr:col>
      <xdr:colOff>39996</xdr:colOff>
      <xdr:row>42</xdr:row>
      <xdr:rowOff>126514</xdr:rowOff>
    </xdr:from>
    <xdr:to>
      <xdr:col>56</xdr:col>
      <xdr:colOff>145677</xdr:colOff>
      <xdr:row>61</xdr:row>
      <xdr:rowOff>56030</xdr:rowOff>
    </xdr:to>
    <xdr:sp macro="" textlink="">
      <xdr:nvSpPr>
        <xdr:cNvPr id="1323" name="正方形/長方形 1322"/>
        <xdr:cNvSpPr/>
      </xdr:nvSpPr>
      <xdr:spPr>
        <a:xfrm>
          <a:off x="35585055" y="7365514"/>
          <a:ext cx="2839916" cy="312319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注文情報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・変更日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・変更ユーザー権限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コラボ管理者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オーナー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コラボ参加者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コラボス運営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kumimoji="1" lang="en-US" altLang="ja-JP" sz="1100">
            <a:solidFill>
              <a:schemeClr val="accent5">
                <a:lumMod val="7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・変更ユーザー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・変更内容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(JSON)</a:t>
          </a: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受注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発注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コラボス運営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ja-JP" altLang="ja-JP">
            <a:effectLst/>
          </a:endParaRPr>
        </a:p>
      </xdr:txBody>
    </xdr:sp>
    <xdr:clientData/>
  </xdr:twoCellAnchor>
  <xdr:twoCellAnchor>
    <xdr:from>
      <xdr:col>46</xdr:col>
      <xdr:colOff>226765</xdr:colOff>
      <xdr:row>52</xdr:row>
      <xdr:rowOff>7228</xdr:rowOff>
    </xdr:from>
    <xdr:to>
      <xdr:col>52</xdr:col>
      <xdr:colOff>39995</xdr:colOff>
      <xdr:row>60</xdr:row>
      <xdr:rowOff>89647</xdr:rowOff>
    </xdr:to>
    <xdr:cxnSp macro="">
      <xdr:nvCxnSpPr>
        <xdr:cNvPr id="1324" name="カギ線コネクタ 1323"/>
        <xdr:cNvCxnSpPr>
          <a:stCxn id="1320" idx="2"/>
          <a:endCxn id="1323" idx="1"/>
        </xdr:cNvCxnSpPr>
      </xdr:nvCxnSpPr>
      <xdr:spPr>
        <a:xfrm rot="5400000" flipH="1" flipV="1">
          <a:off x="32914200" y="7683381"/>
          <a:ext cx="1427125" cy="3914583"/>
        </a:xfrm>
        <a:prstGeom prst="bentConnector4">
          <a:avLst>
            <a:gd name="adj1" fmla="val -59204"/>
            <a:gd name="adj2" fmla="val 75327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329294</xdr:colOff>
      <xdr:row>155</xdr:row>
      <xdr:rowOff>71868</xdr:rowOff>
    </xdr:from>
    <xdr:to>
      <xdr:col>38</xdr:col>
      <xdr:colOff>530679</xdr:colOff>
      <xdr:row>159</xdr:row>
      <xdr:rowOff>35242</xdr:rowOff>
    </xdr:to>
    <xdr:sp macro="" textlink="">
      <xdr:nvSpPr>
        <xdr:cNvPr id="1325" name="正方形/長方形 1324"/>
        <xdr:cNvSpPr/>
      </xdr:nvSpPr>
      <xdr:spPr>
        <a:xfrm>
          <a:off x="22998794" y="29789868"/>
          <a:ext cx="2868385" cy="72537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コラボ参加表明</a:t>
          </a:r>
          <a:r>
            <a:rPr kumimoji="1" lang="ja-JP" altLang="en-US" sz="1100"/>
            <a:t>情報</a:t>
          </a:r>
          <a:endParaRPr kumimoji="1" lang="en-US" altLang="ja-JP" sz="1100"/>
        </a:p>
        <a:p>
          <a:pPr algn="ctr"/>
          <a:r>
            <a:rPr kumimoji="1" lang="en-US" altLang="ja-JP" sz="1100"/>
            <a:t>(Collaboparty)</a:t>
          </a:r>
        </a:p>
      </xdr:txBody>
    </xdr:sp>
    <xdr:clientData/>
  </xdr:twoCellAnchor>
  <xdr:twoCellAnchor>
    <xdr:from>
      <xdr:col>34</xdr:col>
      <xdr:colOff>329294</xdr:colOff>
      <xdr:row>159</xdr:row>
      <xdr:rowOff>32941</xdr:rowOff>
    </xdr:from>
    <xdr:to>
      <xdr:col>38</xdr:col>
      <xdr:colOff>530679</xdr:colOff>
      <xdr:row>187</xdr:row>
      <xdr:rowOff>0</xdr:rowOff>
    </xdr:to>
    <xdr:sp macro="" textlink="">
      <xdr:nvSpPr>
        <xdr:cNvPr id="1326" name="正方形/長方形 1325"/>
        <xdr:cNvSpPr/>
      </xdr:nvSpPr>
      <xdr:spPr>
        <a:xfrm>
          <a:off x="23570294" y="26938265"/>
          <a:ext cx="2935620" cy="467352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・コラボ参加表明受付設定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・参加ユーザー情報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・参加表明管理番号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・参加ステータスキー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・参加者からのコメント</a:t>
          </a:r>
          <a:endParaRPr kumimoji="1" lang="en-US" altLang="ja-JP" sz="1100" b="0" i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・参加申請日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・選考決定日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・希望価格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kumimoji="1" lang="en-US" altLang="ja-JP" sz="1100" b="0" i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585436</xdr:colOff>
      <xdr:row>151</xdr:row>
      <xdr:rowOff>7192</xdr:rowOff>
    </xdr:from>
    <xdr:to>
      <xdr:col>34</xdr:col>
      <xdr:colOff>329294</xdr:colOff>
      <xdr:row>173</xdr:row>
      <xdr:rowOff>16470</xdr:rowOff>
    </xdr:to>
    <xdr:cxnSp macro="">
      <xdr:nvCxnSpPr>
        <xdr:cNvPr id="1330" name="カギ線コネクタ 1329"/>
        <xdr:cNvCxnSpPr>
          <a:stCxn id="1317" idx="2"/>
          <a:endCxn id="1326" idx="1"/>
        </xdr:cNvCxnSpPr>
      </xdr:nvCxnSpPr>
      <xdr:spPr>
        <a:xfrm rot="16200000" flipH="1">
          <a:off x="21502976" y="27207711"/>
          <a:ext cx="3707219" cy="427417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406854</xdr:colOff>
      <xdr:row>83</xdr:row>
      <xdr:rowOff>38100</xdr:rowOff>
    </xdr:from>
    <xdr:to>
      <xdr:col>14</xdr:col>
      <xdr:colOff>276768</xdr:colOff>
      <xdr:row>87</xdr:row>
      <xdr:rowOff>17017</xdr:rowOff>
    </xdr:to>
    <xdr:sp macro="" textlink="">
      <xdr:nvSpPr>
        <xdr:cNvPr id="1334" name="正方形/長方形 1333"/>
        <xdr:cNvSpPr/>
      </xdr:nvSpPr>
      <xdr:spPr>
        <a:xfrm>
          <a:off x="5893254" y="14439900"/>
          <a:ext cx="3984714" cy="66471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仲間・グループ情報</a:t>
          </a:r>
          <a:endParaRPr kumimoji="1" lang="en-US" altLang="ja-JP" sz="1100"/>
        </a:p>
        <a:p>
          <a:pPr algn="ctr"/>
          <a:r>
            <a:rPr kumimoji="1" lang="en-US" altLang="ja-JP" sz="1100"/>
            <a:t>(Group)</a:t>
          </a:r>
        </a:p>
      </xdr:txBody>
    </xdr:sp>
    <xdr:clientData/>
  </xdr:twoCellAnchor>
  <xdr:twoCellAnchor>
    <xdr:from>
      <xdr:col>8</xdr:col>
      <xdr:colOff>406854</xdr:colOff>
      <xdr:row>86</xdr:row>
      <xdr:rowOff>170878</xdr:rowOff>
    </xdr:from>
    <xdr:to>
      <xdr:col>14</xdr:col>
      <xdr:colOff>276768</xdr:colOff>
      <xdr:row>104</xdr:row>
      <xdr:rowOff>66675</xdr:rowOff>
    </xdr:to>
    <xdr:sp macro="" textlink="">
      <xdr:nvSpPr>
        <xdr:cNvPr id="1335" name="正方形/長方形 1334"/>
        <xdr:cNvSpPr/>
      </xdr:nvSpPr>
      <xdr:spPr>
        <a:xfrm>
          <a:off x="5893254" y="15087028"/>
          <a:ext cx="3984714" cy="298189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・グループ作成日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仲間申請日</a:t>
          </a:r>
          <a:r>
            <a:rPr lang="en-US" altLang="ja-JP"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・種類ステータス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仲間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グループ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・グループ名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・グループ</a:t>
          </a:r>
          <a:r>
            <a:rPr lang="en-US" altLang="ja-JP">
              <a:effectLst/>
            </a:rPr>
            <a:t>URL</a:t>
          </a:r>
        </a:p>
        <a:p>
          <a:pPr eaLnBrk="1" fontAlgn="auto" latinLnBrk="0" hangingPunct="1"/>
          <a:r>
            <a:rPr lang="ja-JP" altLang="en-US">
              <a:effectLst/>
            </a:rPr>
            <a:t>・グループアイコン画像タグ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・グループ概要説明文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・グループ参加条件ステータス</a:t>
          </a: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自由、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仲間のみ参加可能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・他者メッセージステータス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受付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受け付けない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仲間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申請ステータス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申請中、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申請承諾、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申請拒否</a:t>
          </a:r>
          <a:r>
            <a:rPr lang="ja-JP" altLang="en-U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）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264022</xdr:colOff>
      <xdr:row>127</xdr:row>
      <xdr:rowOff>69948</xdr:rowOff>
    </xdr:from>
    <xdr:to>
      <xdr:col>21</xdr:col>
      <xdr:colOff>129497</xdr:colOff>
      <xdr:row>130</xdr:row>
      <xdr:rowOff>124260</xdr:rowOff>
    </xdr:to>
    <xdr:sp macro="" textlink="">
      <xdr:nvSpPr>
        <xdr:cNvPr id="1338" name="正方形/長方形 1337"/>
        <xdr:cNvSpPr/>
      </xdr:nvSpPr>
      <xdr:spPr>
        <a:xfrm>
          <a:off x="10517404" y="21596448"/>
          <a:ext cx="3966828" cy="55857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メッセージ情報</a:t>
          </a:r>
          <a:endParaRPr kumimoji="1" lang="en-US" altLang="ja-JP" sz="1100"/>
        </a:p>
        <a:p>
          <a:pPr algn="ctr"/>
          <a:r>
            <a:rPr kumimoji="1" lang="en-US" altLang="ja-JP" sz="1100"/>
            <a:t>(Message)</a:t>
          </a:r>
        </a:p>
      </xdr:txBody>
    </xdr:sp>
    <xdr:clientData/>
  </xdr:twoCellAnchor>
  <xdr:twoCellAnchor>
    <xdr:from>
      <xdr:col>15</xdr:col>
      <xdr:colOff>264022</xdr:colOff>
      <xdr:row>130</xdr:row>
      <xdr:rowOff>114464</xdr:rowOff>
    </xdr:from>
    <xdr:to>
      <xdr:col>21</xdr:col>
      <xdr:colOff>129497</xdr:colOff>
      <xdr:row>144</xdr:row>
      <xdr:rowOff>100853</xdr:rowOff>
    </xdr:to>
    <xdr:sp macro="" textlink="">
      <xdr:nvSpPr>
        <xdr:cNvPr id="1339" name="正方形/長方形 1338"/>
        <xdr:cNvSpPr/>
      </xdr:nvSpPr>
      <xdr:spPr>
        <a:xfrm>
          <a:off x="10517404" y="22145229"/>
          <a:ext cx="3966828" cy="2339624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・メッセージフィールド</a:t>
          </a:r>
          <a:r>
            <a:rPr lang="en-US" altLang="ja-JP">
              <a:effectLst/>
            </a:rPr>
            <a:t>ID(FK)(</a:t>
          </a:r>
          <a:r>
            <a:rPr lang="ja-JP" altLang="en-US">
              <a:effectLst/>
            </a:rPr>
            <a:t>任意</a:t>
          </a:r>
          <a:r>
            <a:rPr lang="en-US" altLang="ja-JP"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・送信元ユーザー</a:t>
          </a:r>
          <a:r>
            <a:rPr lang="en-US" altLang="ja-JP">
              <a:effectLst/>
            </a:rPr>
            <a:t>ID(FK)</a:t>
          </a:r>
        </a:p>
        <a:p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・メッセージ内容</a:t>
          </a:r>
          <a:endParaRPr lang="en-US" altLang="ja-JP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・ステータス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 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 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非公開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・トーク連番号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html</a:t>
          </a: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可能ステータス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50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50000"/>
                </a:schemeClr>
              </a:solidFill>
              <a:effectLst/>
            </a:rPr>
            <a:t>不可、</a:t>
          </a:r>
          <a:r>
            <a:rPr lang="en-US" altLang="ja-JP">
              <a:solidFill>
                <a:schemeClr val="accent5">
                  <a:lumMod val="50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50000"/>
                </a:schemeClr>
              </a:solidFill>
              <a:effectLst/>
            </a:rPr>
            <a:t>解除</a:t>
          </a:r>
          <a:r>
            <a:rPr lang="en-US" altLang="ja-JP">
              <a:solidFill>
                <a:schemeClr val="accent5">
                  <a:lumMod val="50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chemeClr val="accent5">
                  <a:lumMod val="50000"/>
                </a:schemeClr>
              </a:solidFill>
              <a:effectLst/>
            </a:rPr>
            <a:t>・送信日</a:t>
          </a:r>
          <a:endParaRPr lang="en-US" altLang="ja-JP">
            <a:solidFill>
              <a:schemeClr val="accent5">
                <a:lumMod val="50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・ライブラリ、コラボ情報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・メッセージ内容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一覧表示用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</xdr:txBody>
    </xdr:sp>
    <xdr:clientData/>
  </xdr:twoCellAnchor>
  <xdr:twoCellAnchor>
    <xdr:from>
      <xdr:col>19</xdr:col>
      <xdr:colOff>315439</xdr:colOff>
      <xdr:row>154</xdr:row>
      <xdr:rowOff>51457</xdr:rowOff>
    </xdr:from>
    <xdr:to>
      <xdr:col>23</xdr:col>
      <xdr:colOff>130629</xdr:colOff>
      <xdr:row>157</xdr:row>
      <xdr:rowOff>118007</xdr:rowOff>
    </xdr:to>
    <xdr:sp macro="" textlink="">
      <xdr:nvSpPr>
        <xdr:cNvPr id="1340" name="正方形/長方形 1339"/>
        <xdr:cNvSpPr/>
      </xdr:nvSpPr>
      <xdr:spPr>
        <a:xfrm>
          <a:off x="12983689" y="29578957"/>
          <a:ext cx="2482190" cy="638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メッセージ未読既読情報</a:t>
          </a:r>
          <a:endParaRPr kumimoji="1" lang="en-US" altLang="ja-JP" sz="1100"/>
        </a:p>
        <a:p>
          <a:pPr algn="ctr"/>
          <a:r>
            <a:rPr kumimoji="1" lang="en-US" altLang="ja-JP" sz="1100"/>
            <a:t>(Messageread)</a:t>
          </a:r>
        </a:p>
      </xdr:txBody>
    </xdr:sp>
    <xdr:clientData/>
  </xdr:twoCellAnchor>
  <xdr:twoCellAnchor>
    <xdr:from>
      <xdr:col>19</xdr:col>
      <xdr:colOff>315439</xdr:colOff>
      <xdr:row>157</xdr:row>
      <xdr:rowOff>108213</xdr:rowOff>
    </xdr:from>
    <xdr:to>
      <xdr:col>23</xdr:col>
      <xdr:colOff>130629</xdr:colOff>
      <xdr:row>167</xdr:row>
      <xdr:rowOff>36330</xdr:rowOff>
    </xdr:to>
    <xdr:sp macro="" textlink="">
      <xdr:nvSpPr>
        <xdr:cNvPr id="1341" name="正方形/長方形 1340"/>
        <xdr:cNvSpPr/>
      </xdr:nvSpPr>
      <xdr:spPr>
        <a:xfrm>
          <a:off x="12983689" y="30207213"/>
          <a:ext cx="2482190" cy="183311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・メッセージ情報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・送信先ユーザー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・既読</a:t>
          </a:r>
          <a:r>
            <a:rPr lang="en-US" altLang="ja-JP">
              <a:effectLst/>
            </a:rPr>
            <a:t>/</a:t>
          </a:r>
          <a:r>
            <a:rPr lang="ja-JP" altLang="en-US">
              <a:effectLst/>
            </a:rPr>
            <a:t>未読ステータス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未読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既読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・メッセージメール通知ステータス</a:t>
          </a: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未通知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通知済み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</xdr:txBody>
    </xdr:sp>
    <xdr:clientData/>
  </xdr:twoCellAnchor>
  <xdr:twoCellAnchor>
    <xdr:from>
      <xdr:col>19</xdr:col>
      <xdr:colOff>315439</xdr:colOff>
      <xdr:row>137</xdr:row>
      <xdr:rowOff>107659</xdr:rowOff>
    </xdr:from>
    <xdr:to>
      <xdr:col>21</xdr:col>
      <xdr:colOff>129497</xdr:colOff>
      <xdr:row>162</xdr:row>
      <xdr:rowOff>72272</xdr:rowOff>
    </xdr:to>
    <xdr:cxnSp macro="">
      <xdr:nvCxnSpPr>
        <xdr:cNvPr id="1342" name="カギ線コネクタ 1341"/>
        <xdr:cNvCxnSpPr>
          <a:stCxn id="1339" idx="3"/>
          <a:endCxn id="1341" idx="1"/>
        </xdr:cNvCxnSpPr>
      </xdr:nvCxnSpPr>
      <xdr:spPr>
        <a:xfrm flipH="1">
          <a:off x="13303057" y="23315041"/>
          <a:ext cx="1181175" cy="4166819"/>
        </a:xfrm>
        <a:prstGeom prst="bentConnector5">
          <a:avLst>
            <a:gd name="adj1" fmla="val -19354"/>
            <a:gd name="adj2" fmla="val 54384"/>
            <a:gd name="adj3" fmla="val 119354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597633</xdr:colOff>
      <xdr:row>8</xdr:row>
      <xdr:rowOff>82229</xdr:rowOff>
    </xdr:from>
    <xdr:to>
      <xdr:col>70</xdr:col>
      <xdr:colOff>87507</xdr:colOff>
      <xdr:row>10</xdr:row>
      <xdr:rowOff>87518</xdr:rowOff>
    </xdr:to>
    <xdr:sp macro="" textlink="">
      <xdr:nvSpPr>
        <xdr:cNvPr id="1343" name="正方形/長方形 1342"/>
        <xdr:cNvSpPr/>
      </xdr:nvSpPr>
      <xdr:spPr>
        <a:xfrm>
          <a:off x="44140490" y="1497372"/>
          <a:ext cx="3572017" cy="35907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管理アカウント情報</a:t>
          </a:r>
          <a:r>
            <a:rPr kumimoji="1" lang="en-US" altLang="ja-JP" sz="1100"/>
            <a:t>(Admin)</a:t>
          </a:r>
        </a:p>
      </xdr:txBody>
    </xdr:sp>
    <xdr:clientData/>
  </xdr:twoCellAnchor>
  <xdr:twoCellAnchor>
    <xdr:from>
      <xdr:col>64</xdr:col>
      <xdr:colOff>597633</xdr:colOff>
      <xdr:row>10</xdr:row>
      <xdr:rowOff>82817</xdr:rowOff>
    </xdr:from>
    <xdr:to>
      <xdr:col>70</xdr:col>
      <xdr:colOff>87507</xdr:colOff>
      <xdr:row>16</xdr:row>
      <xdr:rowOff>104775</xdr:rowOff>
    </xdr:to>
    <xdr:sp macro="" textlink="">
      <xdr:nvSpPr>
        <xdr:cNvPr id="1344" name="正方形/長方形 1343"/>
        <xdr:cNvSpPr/>
      </xdr:nvSpPr>
      <xdr:spPr>
        <a:xfrm>
          <a:off x="44488833" y="1797317"/>
          <a:ext cx="3604674" cy="105065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・ユーザー名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・パスワード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・管理者名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・コンテンツ管理用アプリ</a:t>
          </a:r>
          <a:r>
            <a:rPr lang="en-US" altLang="ja-JP">
              <a:solidFill>
                <a:sysClr val="windowText" lastClr="000000"/>
              </a:solidFill>
              <a:effectLst/>
            </a:rPr>
            <a:t>ID</a:t>
          </a:r>
        </a:p>
      </xdr:txBody>
    </xdr:sp>
    <xdr:clientData/>
  </xdr:twoCellAnchor>
  <xdr:twoCellAnchor>
    <xdr:from>
      <xdr:col>71</xdr:col>
      <xdr:colOff>408956</xdr:colOff>
      <xdr:row>10</xdr:row>
      <xdr:rowOff>93758</xdr:rowOff>
    </xdr:from>
    <xdr:to>
      <xdr:col>76</xdr:col>
      <xdr:colOff>440438</xdr:colOff>
      <xdr:row>14</xdr:row>
      <xdr:rowOff>19534</xdr:rowOff>
    </xdr:to>
    <xdr:sp macro="" textlink="">
      <xdr:nvSpPr>
        <xdr:cNvPr id="1345" name="正方形/長方形 1344"/>
        <xdr:cNvSpPr/>
      </xdr:nvSpPr>
      <xdr:spPr>
        <a:xfrm>
          <a:off x="48714313" y="1862687"/>
          <a:ext cx="3433268" cy="63334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・基本情報名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・値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71</xdr:col>
      <xdr:colOff>408956</xdr:colOff>
      <xdr:row>8</xdr:row>
      <xdr:rowOff>83382</xdr:rowOff>
    </xdr:from>
    <xdr:to>
      <xdr:col>76</xdr:col>
      <xdr:colOff>447056</xdr:colOff>
      <xdr:row>10</xdr:row>
      <xdr:rowOff>112410</xdr:rowOff>
    </xdr:to>
    <xdr:sp macro="" textlink="">
      <xdr:nvSpPr>
        <xdr:cNvPr id="1346" name="正方形/長方形 1345"/>
        <xdr:cNvSpPr/>
      </xdr:nvSpPr>
      <xdr:spPr>
        <a:xfrm>
          <a:off x="48714313" y="1498525"/>
          <a:ext cx="3439886" cy="382814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サイト基本情報</a:t>
          </a:r>
          <a:r>
            <a:rPr kumimoji="1" lang="en-US" altLang="ja-JP" sz="1100"/>
            <a:t>(Default)</a:t>
          </a:r>
        </a:p>
      </xdr:txBody>
    </xdr:sp>
    <xdr:clientData/>
  </xdr:twoCellAnchor>
  <xdr:twoCellAnchor>
    <xdr:from>
      <xdr:col>6</xdr:col>
      <xdr:colOff>356988</xdr:colOff>
      <xdr:row>7</xdr:row>
      <xdr:rowOff>29605</xdr:rowOff>
    </xdr:from>
    <xdr:to>
      <xdr:col>12</xdr:col>
      <xdr:colOff>586708</xdr:colOff>
      <xdr:row>9</xdr:row>
      <xdr:rowOff>108047</xdr:rowOff>
    </xdr:to>
    <xdr:sp macro="" textlink="">
      <xdr:nvSpPr>
        <xdr:cNvPr id="1347" name="テキスト ボックス 1346"/>
        <xdr:cNvSpPr txBox="1"/>
      </xdr:nvSpPr>
      <xdr:spPr>
        <a:xfrm>
          <a:off x="4357488" y="1363105"/>
          <a:ext cx="4230220" cy="459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会員情報管理</a:t>
          </a:r>
        </a:p>
      </xdr:txBody>
    </xdr:sp>
    <xdr:clientData/>
  </xdr:twoCellAnchor>
  <xdr:twoCellAnchor>
    <xdr:from>
      <xdr:col>7</xdr:col>
      <xdr:colOff>76842</xdr:colOff>
      <xdr:row>78</xdr:row>
      <xdr:rowOff>4393</xdr:rowOff>
    </xdr:from>
    <xdr:to>
      <xdr:col>13</xdr:col>
      <xdr:colOff>325612</xdr:colOff>
      <xdr:row>80</xdr:row>
      <xdr:rowOff>73309</xdr:rowOff>
    </xdr:to>
    <xdr:sp macro="" textlink="">
      <xdr:nvSpPr>
        <xdr:cNvPr id="1348" name="テキスト ボックス 1347"/>
        <xdr:cNvSpPr txBox="1"/>
      </xdr:nvSpPr>
      <xdr:spPr>
        <a:xfrm>
          <a:off x="4744092" y="15053893"/>
          <a:ext cx="4249270" cy="449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仲間・グループ管理</a:t>
          </a:r>
        </a:p>
      </xdr:txBody>
    </xdr:sp>
    <xdr:clientData/>
  </xdr:twoCellAnchor>
  <xdr:twoCellAnchor>
    <xdr:from>
      <xdr:col>7</xdr:col>
      <xdr:colOff>39351</xdr:colOff>
      <xdr:row>120</xdr:row>
      <xdr:rowOff>153888</xdr:rowOff>
    </xdr:from>
    <xdr:to>
      <xdr:col>13</xdr:col>
      <xdr:colOff>288121</xdr:colOff>
      <xdr:row>123</xdr:row>
      <xdr:rowOff>41829</xdr:rowOff>
    </xdr:to>
    <xdr:sp macro="" textlink="">
      <xdr:nvSpPr>
        <xdr:cNvPr id="1349" name="テキスト ボックス 1348"/>
        <xdr:cNvSpPr txBox="1"/>
      </xdr:nvSpPr>
      <xdr:spPr>
        <a:xfrm>
          <a:off x="4706601" y="23204388"/>
          <a:ext cx="4249270" cy="45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トークメッセージ管理</a:t>
          </a:r>
        </a:p>
      </xdr:txBody>
    </xdr:sp>
    <xdr:clientData/>
  </xdr:twoCellAnchor>
  <xdr:twoCellAnchor>
    <xdr:from>
      <xdr:col>30</xdr:col>
      <xdr:colOff>436039</xdr:colOff>
      <xdr:row>65</xdr:row>
      <xdr:rowOff>17174</xdr:rowOff>
    </xdr:from>
    <xdr:to>
      <xdr:col>36</xdr:col>
      <xdr:colOff>663518</xdr:colOff>
      <xdr:row>67</xdr:row>
      <xdr:rowOff>118028</xdr:rowOff>
    </xdr:to>
    <xdr:sp macro="" textlink="">
      <xdr:nvSpPr>
        <xdr:cNvPr id="1350" name="テキスト ボックス 1349"/>
        <xdr:cNvSpPr txBox="1"/>
      </xdr:nvSpPr>
      <xdr:spPr>
        <a:xfrm>
          <a:off x="20438539" y="12590174"/>
          <a:ext cx="4227979" cy="481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ライブラリ・受注管理</a:t>
          </a:r>
        </a:p>
      </xdr:txBody>
    </xdr:sp>
    <xdr:clientData/>
  </xdr:twoCellAnchor>
  <xdr:twoCellAnchor>
    <xdr:from>
      <xdr:col>30</xdr:col>
      <xdr:colOff>330704</xdr:colOff>
      <xdr:row>124</xdr:row>
      <xdr:rowOff>35105</xdr:rowOff>
    </xdr:from>
    <xdr:to>
      <xdr:col>36</xdr:col>
      <xdr:colOff>558183</xdr:colOff>
      <xdr:row>126</xdr:row>
      <xdr:rowOff>116908</xdr:rowOff>
    </xdr:to>
    <xdr:sp macro="" textlink="">
      <xdr:nvSpPr>
        <xdr:cNvPr id="1351" name="テキスト ボックス 1350"/>
        <xdr:cNvSpPr txBox="1"/>
      </xdr:nvSpPr>
      <xdr:spPr>
        <a:xfrm>
          <a:off x="20333204" y="23847605"/>
          <a:ext cx="4227979" cy="462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コラボ・参加表明管理</a:t>
          </a:r>
        </a:p>
      </xdr:txBody>
    </xdr:sp>
    <xdr:clientData/>
  </xdr:twoCellAnchor>
  <xdr:twoCellAnchor>
    <xdr:from>
      <xdr:col>14</xdr:col>
      <xdr:colOff>276768</xdr:colOff>
      <xdr:row>45</xdr:row>
      <xdr:rowOff>159110</xdr:rowOff>
    </xdr:from>
    <xdr:to>
      <xdr:col>24</xdr:col>
      <xdr:colOff>638911</xdr:colOff>
      <xdr:row>95</xdr:row>
      <xdr:rowOff>118777</xdr:rowOff>
    </xdr:to>
    <xdr:cxnSp macro="">
      <xdr:nvCxnSpPr>
        <xdr:cNvPr id="1352" name="カギ線コネクタ 1351"/>
        <xdr:cNvCxnSpPr>
          <a:stCxn id="1335" idx="3"/>
          <a:endCxn id="1308" idx="1"/>
        </xdr:cNvCxnSpPr>
      </xdr:nvCxnSpPr>
      <xdr:spPr>
        <a:xfrm flipV="1">
          <a:off x="9877968" y="8045810"/>
          <a:ext cx="7220143" cy="8532167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496168</xdr:colOff>
      <xdr:row>151</xdr:row>
      <xdr:rowOff>69947</xdr:rowOff>
    </xdr:from>
    <xdr:to>
      <xdr:col>18</xdr:col>
      <xdr:colOff>371354</xdr:colOff>
      <xdr:row>154</xdr:row>
      <xdr:rowOff>72817</xdr:rowOff>
    </xdr:to>
    <xdr:sp macro="" textlink="">
      <xdr:nvSpPr>
        <xdr:cNvPr id="1353" name="正方形/長方形 1352"/>
        <xdr:cNvSpPr/>
      </xdr:nvSpPr>
      <xdr:spPr>
        <a:xfrm>
          <a:off x="8497168" y="29025947"/>
          <a:ext cx="3875686" cy="57437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メッセージ添付データ情報</a:t>
          </a:r>
          <a:endParaRPr kumimoji="1" lang="en-US" altLang="ja-JP" sz="1100"/>
        </a:p>
        <a:p>
          <a:pPr algn="ctr"/>
          <a:r>
            <a:rPr kumimoji="1" lang="en-US" altLang="ja-JP" sz="1100"/>
            <a:t>(messagezip)</a:t>
          </a:r>
        </a:p>
      </xdr:txBody>
    </xdr:sp>
    <xdr:clientData/>
  </xdr:twoCellAnchor>
  <xdr:twoCellAnchor>
    <xdr:from>
      <xdr:col>12</xdr:col>
      <xdr:colOff>496168</xdr:colOff>
      <xdr:row>154</xdr:row>
      <xdr:rowOff>63022</xdr:rowOff>
    </xdr:from>
    <xdr:to>
      <xdr:col>18</xdr:col>
      <xdr:colOff>371354</xdr:colOff>
      <xdr:row>166</xdr:row>
      <xdr:rowOff>11036</xdr:rowOff>
    </xdr:to>
    <xdr:sp macro="" textlink="">
      <xdr:nvSpPr>
        <xdr:cNvPr id="1354" name="正方形/長方形 1353"/>
        <xdr:cNvSpPr/>
      </xdr:nvSpPr>
      <xdr:spPr>
        <a:xfrm>
          <a:off x="8497168" y="29590522"/>
          <a:ext cx="3875686" cy="2234014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・メッセージ情報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・添付データ種類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添付データ、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画像、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ライブラリ、コラボ情報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・添付データファイル名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・添付データタグ番号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・公開設定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</xdr:txBody>
    </xdr:sp>
    <xdr:clientData/>
  </xdr:twoCellAnchor>
  <xdr:twoCellAnchor>
    <xdr:from>
      <xdr:col>15</xdr:col>
      <xdr:colOff>433762</xdr:colOff>
      <xdr:row>144</xdr:row>
      <xdr:rowOff>100853</xdr:rowOff>
    </xdr:from>
    <xdr:to>
      <xdr:col>18</xdr:col>
      <xdr:colOff>196759</xdr:colOff>
      <xdr:row>151</xdr:row>
      <xdr:rowOff>69947</xdr:rowOff>
    </xdr:to>
    <xdr:cxnSp macro="">
      <xdr:nvCxnSpPr>
        <xdr:cNvPr id="1355" name="カギ線コネクタ 1354"/>
        <xdr:cNvCxnSpPr>
          <a:stCxn id="1339" idx="2"/>
          <a:endCxn id="1353" idx="0"/>
        </xdr:cNvCxnSpPr>
      </xdr:nvCxnSpPr>
      <xdr:spPr>
        <a:xfrm rot="5400000">
          <a:off x="11021125" y="24150872"/>
          <a:ext cx="1145712" cy="1813674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362633</xdr:colOff>
      <xdr:row>124</xdr:row>
      <xdr:rowOff>69947</xdr:rowOff>
    </xdr:from>
    <xdr:to>
      <xdr:col>13</xdr:col>
      <xdr:colOff>244918</xdr:colOff>
      <xdr:row>127</xdr:row>
      <xdr:rowOff>164600</xdr:rowOff>
    </xdr:to>
    <xdr:sp macro="" textlink="">
      <xdr:nvSpPr>
        <xdr:cNvPr id="1356" name="正方形/長方形 1355"/>
        <xdr:cNvSpPr/>
      </xdr:nvSpPr>
      <xdr:spPr>
        <a:xfrm>
          <a:off x="5029883" y="23882447"/>
          <a:ext cx="3882785" cy="66615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メッセージフィールド</a:t>
          </a:r>
          <a:endParaRPr kumimoji="1" lang="en-US" altLang="ja-JP" sz="1100"/>
        </a:p>
        <a:p>
          <a:pPr algn="ctr"/>
          <a:r>
            <a:rPr kumimoji="1" lang="en-US" altLang="ja-JP" sz="1100"/>
            <a:t>(Messgefield)</a:t>
          </a:r>
        </a:p>
      </xdr:txBody>
    </xdr:sp>
    <xdr:clientData/>
  </xdr:twoCellAnchor>
  <xdr:twoCellAnchor>
    <xdr:from>
      <xdr:col>7</xdr:col>
      <xdr:colOff>362633</xdr:colOff>
      <xdr:row>127</xdr:row>
      <xdr:rowOff>154803</xdr:rowOff>
    </xdr:from>
    <xdr:to>
      <xdr:col>13</xdr:col>
      <xdr:colOff>244918</xdr:colOff>
      <xdr:row>135</xdr:row>
      <xdr:rowOff>95250</xdr:rowOff>
    </xdr:to>
    <xdr:sp macro="" textlink="">
      <xdr:nvSpPr>
        <xdr:cNvPr id="1357" name="正方形/長方形 1356"/>
        <xdr:cNvSpPr/>
      </xdr:nvSpPr>
      <xdr:spPr>
        <a:xfrm>
          <a:off x="5163233" y="22100403"/>
          <a:ext cx="3997085" cy="1312047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・フィールド関係ステータス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個人、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グループチャット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コラボ専用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,3: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仲間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・関係グループ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・関係コラボ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・関係仲間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・新着メッセージ送信日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</xdr:col>
      <xdr:colOff>99173</xdr:colOff>
      <xdr:row>141</xdr:row>
      <xdr:rowOff>69947</xdr:rowOff>
    </xdr:from>
    <xdr:to>
      <xdr:col>12</xdr:col>
      <xdr:colOff>648208</xdr:colOff>
      <xdr:row>144</xdr:row>
      <xdr:rowOff>160581</xdr:rowOff>
    </xdr:to>
    <xdr:sp macro="" textlink="">
      <xdr:nvSpPr>
        <xdr:cNvPr id="1358" name="正方形/長方形 1357"/>
        <xdr:cNvSpPr/>
      </xdr:nvSpPr>
      <xdr:spPr>
        <a:xfrm>
          <a:off x="4766423" y="27120947"/>
          <a:ext cx="3882785" cy="6621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メッセージフィールドユーザー</a:t>
          </a:r>
          <a:endParaRPr kumimoji="1" lang="en-US" altLang="ja-JP" sz="1100"/>
        </a:p>
        <a:p>
          <a:pPr algn="ctr"/>
          <a:r>
            <a:rPr kumimoji="1" lang="en-US" altLang="ja-JP" sz="1100"/>
            <a:t>(Messagefielduser)</a:t>
          </a:r>
        </a:p>
      </xdr:txBody>
    </xdr:sp>
    <xdr:clientData/>
  </xdr:twoCellAnchor>
  <xdr:twoCellAnchor>
    <xdr:from>
      <xdr:col>7</xdr:col>
      <xdr:colOff>99173</xdr:colOff>
      <xdr:row>144</xdr:row>
      <xdr:rowOff>150786</xdr:rowOff>
    </xdr:from>
    <xdr:to>
      <xdr:col>12</xdr:col>
      <xdr:colOff>648208</xdr:colOff>
      <xdr:row>153</xdr:row>
      <xdr:rowOff>22412</xdr:rowOff>
    </xdr:to>
    <xdr:sp macro="" textlink="">
      <xdr:nvSpPr>
        <xdr:cNvPr id="1359" name="正方形/長方形 1358"/>
        <xdr:cNvSpPr/>
      </xdr:nvSpPr>
      <xdr:spPr>
        <a:xfrm>
          <a:off x="4884085" y="24534786"/>
          <a:ext cx="3966829" cy="138442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・メッセージフィールド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・メッセージやり取りユーザー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・利用可能ステータス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利用可能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停止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・コラボチャット用</a:t>
          </a:r>
          <a:r>
            <a:rPr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申請</a:t>
          </a:r>
          <a:r>
            <a:rPr lang="ja-JP" altLang="en-US">
              <a:solidFill>
                <a:sysClr val="windowText" lastClr="000000"/>
              </a:solidFill>
              <a:effectLst/>
            </a:rPr>
            <a:t>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承認済みまたはスルー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申請中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拒否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10</xdr:col>
      <xdr:colOff>30792</xdr:colOff>
      <xdr:row>135</xdr:row>
      <xdr:rowOff>95250</xdr:rowOff>
    </xdr:from>
    <xdr:to>
      <xdr:col>10</xdr:col>
      <xdr:colOff>303777</xdr:colOff>
      <xdr:row>141</xdr:row>
      <xdr:rowOff>69947</xdr:rowOff>
    </xdr:to>
    <xdr:cxnSp macro="">
      <xdr:nvCxnSpPr>
        <xdr:cNvPr id="1360" name="カギ線コネクタ 1359"/>
        <xdr:cNvCxnSpPr>
          <a:stCxn id="1357" idx="2"/>
          <a:endCxn id="1358" idx="0"/>
        </xdr:cNvCxnSpPr>
      </xdr:nvCxnSpPr>
      <xdr:spPr>
        <a:xfrm rot="5400000">
          <a:off x="6523586" y="23777656"/>
          <a:ext cx="1003397" cy="272985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244918</xdr:colOff>
      <xdr:row>127</xdr:row>
      <xdr:rowOff>69948</xdr:rowOff>
    </xdr:from>
    <xdr:to>
      <xdr:col>18</xdr:col>
      <xdr:colOff>196759</xdr:colOff>
      <xdr:row>131</xdr:row>
      <xdr:rowOff>125027</xdr:rowOff>
    </xdr:to>
    <xdr:cxnSp macro="">
      <xdr:nvCxnSpPr>
        <xdr:cNvPr id="1361" name="カギ線コネクタ 1360"/>
        <xdr:cNvCxnSpPr>
          <a:stCxn id="1357" idx="3"/>
          <a:endCxn id="1338" idx="0"/>
        </xdr:cNvCxnSpPr>
      </xdr:nvCxnSpPr>
      <xdr:spPr>
        <a:xfrm flipV="1">
          <a:off x="9131183" y="21596448"/>
          <a:ext cx="3369635" cy="727432"/>
        </a:xfrm>
        <a:prstGeom prst="bentConnector4">
          <a:avLst>
            <a:gd name="adj1" fmla="val 20569"/>
            <a:gd name="adj2" fmla="val 131426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193913</xdr:colOff>
      <xdr:row>46</xdr:row>
      <xdr:rowOff>123826</xdr:rowOff>
    </xdr:from>
    <xdr:to>
      <xdr:col>75</xdr:col>
      <xdr:colOff>647700</xdr:colOff>
      <xdr:row>49</xdr:row>
      <xdr:rowOff>143576</xdr:rowOff>
    </xdr:to>
    <xdr:sp macro="" textlink="">
      <xdr:nvSpPr>
        <xdr:cNvPr id="1365" name="正方形/長方形 1364"/>
        <xdr:cNvSpPr/>
      </xdr:nvSpPr>
      <xdr:spPr>
        <a:xfrm>
          <a:off x="48885713" y="8181976"/>
          <a:ext cx="3196987" cy="5341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フリーページ情報</a:t>
          </a:r>
          <a:endParaRPr kumimoji="1" lang="en-US" altLang="ja-JP" sz="1100"/>
        </a:p>
        <a:p>
          <a:pPr algn="ctr"/>
          <a:r>
            <a:rPr kumimoji="1" lang="en-US" altLang="ja-JP" sz="1100"/>
            <a:t>(Freepage)</a:t>
          </a:r>
        </a:p>
      </xdr:txBody>
    </xdr:sp>
    <xdr:clientData/>
  </xdr:twoCellAnchor>
  <xdr:twoCellAnchor>
    <xdr:from>
      <xdr:col>71</xdr:col>
      <xdr:colOff>193913</xdr:colOff>
      <xdr:row>49</xdr:row>
      <xdr:rowOff>135511</xdr:rowOff>
    </xdr:from>
    <xdr:to>
      <xdr:col>75</xdr:col>
      <xdr:colOff>647700</xdr:colOff>
      <xdr:row>70</xdr:row>
      <xdr:rowOff>47625</xdr:rowOff>
    </xdr:to>
    <xdr:sp macro="" textlink="">
      <xdr:nvSpPr>
        <xdr:cNvPr id="1366" name="正方形/長方形 1365"/>
        <xdr:cNvSpPr/>
      </xdr:nvSpPr>
      <xdr:spPr>
        <a:xfrm>
          <a:off x="48885713" y="8708011"/>
          <a:ext cx="3196987" cy="351256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・ページタイトル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・フリーページパーマリンク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・ヘッダーステータス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有効、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・フッターステータス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有効、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・公開ステータス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会員に公開、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・フリーページカテゴリー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(0:PC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のみ又はレスポンシブ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スマホ用に切り替え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・スマホ判定画面幅</a:t>
          </a:r>
          <a:endParaRPr lang="ja-JP" altLang="ja-JP"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</xdr:col>
      <xdr:colOff>58830</xdr:colOff>
      <xdr:row>10</xdr:row>
      <xdr:rowOff>148388</xdr:rowOff>
    </xdr:from>
    <xdr:to>
      <xdr:col>11</xdr:col>
      <xdr:colOff>73917</xdr:colOff>
      <xdr:row>13</xdr:row>
      <xdr:rowOff>143567</xdr:rowOff>
    </xdr:to>
    <xdr:sp macro="" textlink="">
      <xdr:nvSpPr>
        <xdr:cNvPr id="1367" name="正方形/長方形 1366"/>
        <xdr:cNvSpPr/>
      </xdr:nvSpPr>
      <xdr:spPr>
        <a:xfrm>
          <a:off x="4726080" y="2053388"/>
          <a:ext cx="2682087" cy="56667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ユーザー情報</a:t>
          </a:r>
          <a:endParaRPr kumimoji="1" lang="en-US" altLang="ja-JP" sz="1100"/>
        </a:p>
        <a:p>
          <a:pPr algn="ctr"/>
          <a:r>
            <a:rPr kumimoji="1" lang="en-US" altLang="ja-JP" sz="1100"/>
            <a:t>(User)</a:t>
          </a:r>
          <a:endParaRPr kumimoji="1" lang="ja-JP" altLang="en-US" sz="1100"/>
        </a:p>
      </xdr:txBody>
    </xdr:sp>
    <xdr:clientData/>
  </xdr:twoCellAnchor>
  <xdr:twoCellAnchor>
    <xdr:from>
      <xdr:col>7</xdr:col>
      <xdr:colOff>58830</xdr:colOff>
      <xdr:row>13</xdr:row>
      <xdr:rowOff>144225</xdr:rowOff>
    </xdr:from>
    <xdr:to>
      <xdr:col>11</xdr:col>
      <xdr:colOff>73403</xdr:colOff>
      <xdr:row>35</xdr:row>
      <xdr:rowOff>13917</xdr:rowOff>
    </xdr:to>
    <xdr:sp macro="" textlink="">
      <xdr:nvSpPr>
        <xdr:cNvPr id="1368" name="正方形/長方形 1367"/>
        <xdr:cNvSpPr/>
      </xdr:nvSpPr>
      <xdr:spPr>
        <a:xfrm>
          <a:off x="4726080" y="2620725"/>
          <a:ext cx="2681573" cy="425119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メールアドレス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・有効ステータス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利用停止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仮会員、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正会員、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退会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・仮登録用番号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・ユーザー管理番号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・ユーザー名</a:t>
          </a:r>
          <a:endParaRPr lang="ja-JP" altLang="ja-JP"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・パスワード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・ニックネーム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・アイコン画像タグ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Facebook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連携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twitter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連携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用アプリ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・コンテンツデータ管理用アプリ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</a:t>
          </a:r>
          <a:endParaRPr lang="ja-JP" altLang="ja-JP"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・クレジット支払情報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(JSON)</a:t>
          </a: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・振込先情報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(JSON)</a:t>
          </a:r>
        </a:p>
      </xdr:txBody>
    </xdr:sp>
    <xdr:clientData/>
  </xdr:twoCellAnchor>
  <xdr:twoCellAnchor>
    <xdr:from>
      <xdr:col>10</xdr:col>
      <xdr:colOff>213474</xdr:colOff>
      <xdr:row>29</xdr:row>
      <xdr:rowOff>25605</xdr:rowOff>
    </xdr:from>
    <xdr:to>
      <xdr:col>13</xdr:col>
      <xdr:colOff>178255</xdr:colOff>
      <xdr:row>37</xdr:row>
      <xdr:rowOff>146707</xdr:rowOff>
    </xdr:to>
    <xdr:sp macro="" textlink="">
      <xdr:nvSpPr>
        <xdr:cNvPr id="1372" name="正方形/長方形 1371"/>
        <xdr:cNvSpPr/>
      </xdr:nvSpPr>
      <xdr:spPr>
        <a:xfrm>
          <a:off x="7088039" y="5069714"/>
          <a:ext cx="2027151" cy="167823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eaLnBrk="1" fontAlgn="auto" latinLnBrk="0" hangingPunct="1"/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クレジット支払情報一覧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・支払クレジットカード決済会社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・支払クレジットカード番号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・支払クレジット名義人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・支払クレジット有効期限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月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・支払クレジット有効期限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年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endParaRPr lang="ja-JP" altLang="ja-JP">
            <a:effectLst/>
          </a:endParaRPr>
        </a:p>
      </xdr:txBody>
    </xdr:sp>
    <xdr:clientData/>
  </xdr:twoCellAnchor>
  <xdr:twoCellAnchor>
    <xdr:from>
      <xdr:col>13</xdr:col>
      <xdr:colOff>261098</xdr:colOff>
      <xdr:row>29</xdr:row>
      <xdr:rowOff>44655</xdr:rowOff>
    </xdr:from>
    <xdr:to>
      <xdr:col>15</xdr:col>
      <xdr:colOff>654504</xdr:colOff>
      <xdr:row>37</xdr:row>
      <xdr:rowOff>146707</xdr:rowOff>
    </xdr:to>
    <xdr:sp macro="" textlink="">
      <xdr:nvSpPr>
        <xdr:cNvPr id="1373" name="正方形/長方形 1372"/>
        <xdr:cNvSpPr/>
      </xdr:nvSpPr>
      <xdr:spPr>
        <a:xfrm>
          <a:off x="8928848" y="5569155"/>
          <a:ext cx="1726906" cy="181655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eaLnBrk="1" fontAlgn="auto" latinLnBrk="0" hangingPunct="1"/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振込先情報一覧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・振込銀行名</a:t>
          </a:r>
          <a:endParaRPr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・振込支店名</a:t>
          </a:r>
          <a:endParaRPr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・振込口座種別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・振込銀行口座番号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・振込銀行口座名義人</a:t>
          </a:r>
          <a:endParaRPr lang="ja-JP" altLang="ja-JP">
            <a:effectLst/>
          </a:endParaRPr>
        </a:p>
      </xdr:txBody>
    </xdr:sp>
    <xdr:clientData/>
  </xdr:twoCellAnchor>
  <xdr:twoCellAnchor>
    <xdr:from>
      <xdr:col>76</xdr:col>
      <xdr:colOff>132234</xdr:colOff>
      <xdr:row>67</xdr:row>
      <xdr:rowOff>124268</xdr:rowOff>
    </xdr:from>
    <xdr:to>
      <xdr:col>80</xdr:col>
      <xdr:colOff>187380</xdr:colOff>
      <xdr:row>70</xdr:row>
      <xdr:rowOff>162813</xdr:rowOff>
    </xdr:to>
    <xdr:sp macro="" textlink="">
      <xdr:nvSpPr>
        <xdr:cNvPr id="1374" name="正方形/長方形 1373"/>
        <xdr:cNvSpPr/>
      </xdr:nvSpPr>
      <xdr:spPr>
        <a:xfrm>
          <a:off x="52082705" y="11565474"/>
          <a:ext cx="2789381" cy="54281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フリーページカテゴリー情報</a:t>
          </a:r>
          <a:r>
            <a:rPr kumimoji="1" lang="en-US" altLang="ja-JP" sz="1100"/>
            <a:t>(Freepagecategory)</a:t>
          </a:r>
        </a:p>
      </xdr:txBody>
    </xdr:sp>
    <xdr:clientData/>
  </xdr:twoCellAnchor>
  <xdr:twoCellAnchor>
    <xdr:from>
      <xdr:col>76</xdr:col>
      <xdr:colOff>132234</xdr:colOff>
      <xdr:row>70</xdr:row>
      <xdr:rowOff>154749</xdr:rowOff>
    </xdr:from>
    <xdr:to>
      <xdr:col>80</xdr:col>
      <xdr:colOff>187380</xdr:colOff>
      <xdr:row>82</xdr:row>
      <xdr:rowOff>142875</xdr:rowOff>
    </xdr:to>
    <xdr:sp macro="" textlink="">
      <xdr:nvSpPr>
        <xdr:cNvPr id="1375" name="正方形/長方形 1374"/>
        <xdr:cNvSpPr/>
      </xdr:nvSpPr>
      <xdr:spPr>
        <a:xfrm>
          <a:off x="52253034" y="12327699"/>
          <a:ext cx="2798346" cy="20455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・フリーページカテゴリー名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・カテゴリー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パーマリンク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(0:PC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のみ又はレスポンシブ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スマホ用に切り替え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・スマホ判定画面幅</a:t>
          </a:r>
          <a:endParaRPr lang="ja-JP" altLang="ja-JP"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75</xdr:col>
      <xdr:colOff>647701</xdr:colOff>
      <xdr:row>60</xdr:row>
      <xdr:rowOff>5843</xdr:rowOff>
    </xdr:from>
    <xdr:to>
      <xdr:col>78</xdr:col>
      <xdr:colOff>159808</xdr:colOff>
      <xdr:row>67</xdr:row>
      <xdr:rowOff>124268</xdr:rowOff>
    </xdr:to>
    <xdr:cxnSp macro="">
      <xdr:nvCxnSpPr>
        <xdr:cNvPr id="1376" name="カギ線コネクタ 1375"/>
        <xdr:cNvCxnSpPr>
          <a:stCxn id="1374" idx="0"/>
          <a:endCxn id="1366" idx="3"/>
        </xdr:cNvCxnSpPr>
      </xdr:nvCxnSpPr>
      <xdr:spPr>
        <a:xfrm rot="16200000" flipV="1">
          <a:off x="52208167" y="10338827"/>
          <a:ext cx="1318575" cy="1569507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567617</xdr:colOff>
      <xdr:row>16</xdr:row>
      <xdr:rowOff>136946</xdr:rowOff>
    </xdr:from>
    <xdr:to>
      <xdr:col>75</xdr:col>
      <xdr:colOff>622763</xdr:colOff>
      <xdr:row>19</xdr:row>
      <xdr:rowOff>143206</xdr:rowOff>
    </xdr:to>
    <xdr:sp macro="" textlink="">
      <xdr:nvSpPr>
        <xdr:cNvPr id="1380" name="正方形/長方形 1379"/>
        <xdr:cNvSpPr/>
      </xdr:nvSpPr>
      <xdr:spPr>
        <a:xfrm>
          <a:off x="49100293" y="2826358"/>
          <a:ext cx="2789382" cy="510524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インフォメーション情報</a:t>
          </a:r>
          <a:endParaRPr kumimoji="1" lang="en-US" altLang="ja-JP" sz="1100"/>
        </a:p>
        <a:p>
          <a:pPr algn="ctr"/>
          <a:r>
            <a:rPr kumimoji="1" lang="en-US" altLang="ja-JP" sz="1100"/>
            <a:t>(Information)</a:t>
          </a:r>
        </a:p>
      </xdr:txBody>
    </xdr:sp>
    <xdr:clientData/>
  </xdr:twoCellAnchor>
  <xdr:twoCellAnchor>
    <xdr:from>
      <xdr:col>71</xdr:col>
      <xdr:colOff>567617</xdr:colOff>
      <xdr:row>19</xdr:row>
      <xdr:rowOff>144667</xdr:rowOff>
    </xdr:from>
    <xdr:to>
      <xdr:col>75</xdr:col>
      <xdr:colOff>622763</xdr:colOff>
      <xdr:row>30</xdr:row>
      <xdr:rowOff>33617</xdr:rowOff>
    </xdr:to>
    <xdr:sp macro="" textlink="">
      <xdr:nvSpPr>
        <xdr:cNvPr id="1381" name="正方形/長方形 1380"/>
        <xdr:cNvSpPr/>
      </xdr:nvSpPr>
      <xdr:spPr>
        <a:xfrm>
          <a:off x="49100293" y="3338343"/>
          <a:ext cx="2789382" cy="173792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・投稿日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・タイトル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・インフォメーション種類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メンテナンス、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機能追加、変更、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その他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・インフォメーション内容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・メール全通知ステータス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未通知、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送信済み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</xdr:txBody>
    </xdr:sp>
    <xdr:clientData/>
  </xdr:twoCellAnchor>
  <xdr:twoCellAnchor>
    <xdr:from>
      <xdr:col>72</xdr:col>
      <xdr:colOff>147055</xdr:colOff>
      <xdr:row>31</xdr:row>
      <xdr:rowOff>156338</xdr:rowOff>
    </xdr:from>
    <xdr:to>
      <xdr:col>76</xdr:col>
      <xdr:colOff>202201</xdr:colOff>
      <xdr:row>34</xdr:row>
      <xdr:rowOff>204059</xdr:rowOff>
    </xdr:to>
    <xdr:sp macro="" textlink="">
      <xdr:nvSpPr>
        <xdr:cNvPr id="1382" name="正方形/長方形 1381"/>
        <xdr:cNvSpPr/>
      </xdr:nvSpPr>
      <xdr:spPr>
        <a:xfrm>
          <a:off x="49363290" y="5367073"/>
          <a:ext cx="2789382" cy="5519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メール送信ログ情報</a:t>
          </a:r>
          <a:endParaRPr kumimoji="1" lang="en-US" altLang="ja-JP" sz="1100"/>
        </a:p>
        <a:p>
          <a:pPr algn="ctr"/>
          <a:r>
            <a:rPr kumimoji="1" lang="en-US" altLang="ja-JP" sz="1100"/>
            <a:t>(Maillog)</a:t>
          </a:r>
        </a:p>
      </xdr:txBody>
    </xdr:sp>
    <xdr:clientData/>
  </xdr:twoCellAnchor>
  <xdr:twoCellAnchor>
    <xdr:from>
      <xdr:col>72</xdr:col>
      <xdr:colOff>147055</xdr:colOff>
      <xdr:row>34</xdr:row>
      <xdr:rowOff>195995</xdr:rowOff>
    </xdr:from>
    <xdr:to>
      <xdr:col>76</xdr:col>
      <xdr:colOff>202201</xdr:colOff>
      <xdr:row>46</xdr:row>
      <xdr:rowOff>0</xdr:rowOff>
    </xdr:to>
    <xdr:sp macro="" textlink="">
      <xdr:nvSpPr>
        <xdr:cNvPr id="1383" name="正方形/長方形 1382"/>
        <xdr:cNvSpPr/>
      </xdr:nvSpPr>
      <xdr:spPr>
        <a:xfrm>
          <a:off x="49363290" y="5910995"/>
          <a:ext cx="2789382" cy="200035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・送信日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・送信先メールアドレス</a:t>
          </a:r>
          <a:r>
            <a:rPr lang="en-US" altLang="ja-JP">
              <a:solidFill>
                <a:sysClr val="windowText" lastClr="000000"/>
              </a:solidFill>
              <a:effectLst/>
            </a:rPr>
            <a:t>(split)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・メール件名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・メール内容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・会員情報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・注文情報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・コラボ参加表明情報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・メッセージ情報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・送信メールフォーマットコード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65</xdr:col>
      <xdr:colOff>252412</xdr:colOff>
      <xdr:row>26</xdr:row>
      <xdr:rowOff>49401</xdr:rowOff>
    </xdr:from>
    <xdr:to>
      <xdr:col>68</xdr:col>
      <xdr:colOff>649006</xdr:colOff>
      <xdr:row>27</xdr:row>
      <xdr:rowOff>174845</xdr:rowOff>
    </xdr:to>
    <xdr:sp macro="" textlink="">
      <xdr:nvSpPr>
        <xdr:cNvPr id="1385" name="正方形/長方形 1384"/>
        <xdr:cNvSpPr/>
      </xdr:nvSpPr>
      <xdr:spPr>
        <a:xfrm>
          <a:off x="44475626" y="4648615"/>
          <a:ext cx="2437666" cy="302337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地区カテゴリー</a:t>
          </a:r>
          <a:r>
            <a:rPr kumimoji="1" lang="en-US" altLang="ja-JP" sz="1100"/>
            <a:t>(Locationcategory)</a:t>
          </a:r>
        </a:p>
      </xdr:txBody>
    </xdr:sp>
    <xdr:clientData/>
  </xdr:twoCellAnchor>
  <xdr:twoCellAnchor>
    <xdr:from>
      <xdr:col>65</xdr:col>
      <xdr:colOff>252412</xdr:colOff>
      <xdr:row>27</xdr:row>
      <xdr:rowOff>187513</xdr:rowOff>
    </xdr:from>
    <xdr:to>
      <xdr:col>68</xdr:col>
      <xdr:colOff>649006</xdr:colOff>
      <xdr:row>30</xdr:row>
      <xdr:rowOff>116052</xdr:rowOff>
    </xdr:to>
    <xdr:sp macro="" textlink="">
      <xdr:nvSpPr>
        <xdr:cNvPr id="1386" name="正方形/長方形 1385"/>
        <xdr:cNvSpPr/>
      </xdr:nvSpPr>
      <xdr:spPr>
        <a:xfrm>
          <a:off x="43591162" y="5331013"/>
          <a:ext cx="2396844" cy="50003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・地区名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66</xdr:col>
      <xdr:colOff>271462</xdr:colOff>
      <xdr:row>34</xdr:row>
      <xdr:rowOff>16064</xdr:rowOff>
    </xdr:from>
    <xdr:to>
      <xdr:col>70</xdr:col>
      <xdr:colOff>1305</xdr:colOff>
      <xdr:row>34</xdr:row>
      <xdr:rowOff>336770</xdr:rowOff>
    </xdr:to>
    <xdr:sp macro="" textlink="">
      <xdr:nvSpPr>
        <xdr:cNvPr id="1387" name="正方形/長方形 1386"/>
        <xdr:cNvSpPr/>
      </xdr:nvSpPr>
      <xdr:spPr>
        <a:xfrm>
          <a:off x="45534262" y="5845364"/>
          <a:ext cx="2473043" cy="320706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都道府県</a:t>
          </a:r>
          <a:r>
            <a:rPr kumimoji="1" lang="en-US" altLang="ja-JP" sz="1100"/>
            <a:t>(Locationarea)</a:t>
          </a:r>
        </a:p>
      </xdr:txBody>
    </xdr:sp>
    <xdr:clientData/>
  </xdr:twoCellAnchor>
  <xdr:twoCellAnchor>
    <xdr:from>
      <xdr:col>66</xdr:col>
      <xdr:colOff>271462</xdr:colOff>
      <xdr:row>34</xdr:row>
      <xdr:rowOff>330388</xdr:rowOff>
    </xdr:from>
    <xdr:to>
      <xdr:col>70</xdr:col>
      <xdr:colOff>1305</xdr:colOff>
      <xdr:row>39</xdr:row>
      <xdr:rowOff>67236</xdr:rowOff>
    </xdr:to>
    <xdr:sp macro="" textlink="">
      <xdr:nvSpPr>
        <xdr:cNvPr id="1388" name="正方形/長方形 1387"/>
        <xdr:cNvSpPr/>
      </xdr:nvSpPr>
      <xdr:spPr>
        <a:xfrm>
          <a:off x="45386344" y="6045388"/>
          <a:ext cx="2464079" cy="75658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・地区カテゴリー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・都道府県名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67</xdr:col>
      <xdr:colOff>107808</xdr:colOff>
      <xdr:row>30</xdr:row>
      <xdr:rowOff>116052</xdr:rowOff>
    </xdr:from>
    <xdr:to>
      <xdr:col>68</xdr:col>
      <xdr:colOff>136383</xdr:colOff>
      <xdr:row>34</xdr:row>
      <xdr:rowOff>16064</xdr:rowOff>
    </xdr:to>
    <xdr:cxnSp macro="">
      <xdr:nvCxnSpPr>
        <xdr:cNvPr id="1389" name="カギ線コネクタ 1388"/>
        <xdr:cNvCxnSpPr>
          <a:stCxn id="1386" idx="2"/>
          <a:endCxn id="1387" idx="0"/>
        </xdr:cNvCxnSpPr>
      </xdr:nvCxnSpPr>
      <xdr:spPr>
        <a:xfrm rot="16200000" flipH="1">
          <a:off x="46120690" y="5195270"/>
          <a:ext cx="585812" cy="714375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235651</xdr:colOff>
      <xdr:row>41</xdr:row>
      <xdr:rowOff>57566</xdr:rowOff>
    </xdr:from>
    <xdr:to>
      <xdr:col>68</xdr:col>
      <xdr:colOff>628161</xdr:colOff>
      <xdr:row>43</xdr:row>
      <xdr:rowOff>6797</xdr:rowOff>
    </xdr:to>
    <xdr:sp macro="" textlink="">
      <xdr:nvSpPr>
        <xdr:cNvPr id="1390" name="正方形/長方形 1389"/>
        <xdr:cNvSpPr/>
      </xdr:nvSpPr>
      <xdr:spPr>
        <a:xfrm>
          <a:off x="44458865" y="7473459"/>
          <a:ext cx="2433582" cy="303017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職種カテゴリー</a:t>
          </a:r>
          <a:r>
            <a:rPr kumimoji="1" lang="en-US" altLang="ja-JP" sz="1100"/>
            <a:t>(Jobcategory)</a:t>
          </a:r>
        </a:p>
      </xdr:txBody>
    </xdr:sp>
    <xdr:clientData/>
  </xdr:twoCellAnchor>
  <xdr:twoCellAnchor>
    <xdr:from>
      <xdr:col>65</xdr:col>
      <xdr:colOff>235651</xdr:colOff>
      <xdr:row>43</xdr:row>
      <xdr:rowOff>1776</xdr:rowOff>
    </xdr:from>
    <xdr:to>
      <xdr:col>68</xdr:col>
      <xdr:colOff>628161</xdr:colOff>
      <xdr:row>45</xdr:row>
      <xdr:rowOff>120134</xdr:rowOff>
    </xdr:to>
    <xdr:sp macro="" textlink="">
      <xdr:nvSpPr>
        <xdr:cNvPr id="1391" name="正方形/長方形 1390"/>
        <xdr:cNvSpPr/>
      </xdr:nvSpPr>
      <xdr:spPr>
        <a:xfrm>
          <a:off x="43574401" y="8383776"/>
          <a:ext cx="2392760" cy="49935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職種カテゴリー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名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66</xdr:col>
      <xdr:colOff>292801</xdr:colOff>
      <xdr:row>48</xdr:row>
      <xdr:rowOff>163702</xdr:rowOff>
    </xdr:from>
    <xdr:to>
      <xdr:col>70</xdr:col>
      <xdr:colOff>18561</xdr:colOff>
      <xdr:row>50</xdr:row>
      <xdr:rowOff>141508</xdr:rowOff>
    </xdr:to>
    <xdr:sp macro="" textlink="">
      <xdr:nvSpPr>
        <xdr:cNvPr id="1392" name="正方形/長方形 1391"/>
        <xdr:cNvSpPr/>
      </xdr:nvSpPr>
      <xdr:spPr>
        <a:xfrm>
          <a:off x="44298301" y="9498202"/>
          <a:ext cx="2392760" cy="358806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職種</a:t>
          </a:r>
          <a:r>
            <a:rPr kumimoji="1" lang="en-US" altLang="ja-JP" sz="1100"/>
            <a:t>(Job)</a:t>
          </a:r>
        </a:p>
      </xdr:txBody>
    </xdr:sp>
    <xdr:clientData/>
  </xdr:twoCellAnchor>
  <xdr:twoCellAnchor>
    <xdr:from>
      <xdr:col>66</xdr:col>
      <xdr:colOff>292801</xdr:colOff>
      <xdr:row>50</xdr:row>
      <xdr:rowOff>144650</xdr:rowOff>
    </xdr:from>
    <xdr:to>
      <xdr:col>70</xdr:col>
      <xdr:colOff>18561</xdr:colOff>
      <xdr:row>55</xdr:row>
      <xdr:rowOff>78440</xdr:rowOff>
    </xdr:to>
    <xdr:sp macro="" textlink="">
      <xdr:nvSpPr>
        <xdr:cNvPr id="1393" name="正方形/長方形 1392"/>
        <xdr:cNvSpPr/>
      </xdr:nvSpPr>
      <xdr:spPr>
        <a:xfrm>
          <a:off x="45407683" y="8728356"/>
          <a:ext cx="2459996" cy="77423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・職種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カテゴリー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・職種名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67</xdr:col>
      <xdr:colOff>93195</xdr:colOff>
      <xdr:row>45</xdr:row>
      <xdr:rowOff>120133</xdr:rowOff>
    </xdr:from>
    <xdr:to>
      <xdr:col>68</xdr:col>
      <xdr:colOff>143489</xdr:colOff>
      <xdr:row>48</xdr:row>
      <xdr:rowOff>163701</xdr:rowOff>
    </xdr:to>
    <xdr:cxnSp macro="">
      <xdr:nvCxnSpPr>
        <xdr:cNvPr id="1394" name="カギ線コネクタ 1393"/>
        <xdr:cNvCxnSpPr>
          <a:stCxn id="1391" idx="2"/>
          <a:endCxn id="1392" idx="0"/>
        </xdr:cNvCxnSpPr>
      </xdr:nvCxnSpPr>
      <xdr:spPr>
        <a:xfrm rot="16200000" flipH="1">
          <a:off x="44816433" y="8832145"/>
          <a:ext cx="615068" cy="717044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245002</xdr:colOff>
      <xdr:row>56</xdr:row>
      <xdr:rowOff>47056</xdr:rowOff>
    </xdr:from>
    <xdr:to>
      <xdr:col>67</xdr:col>
      <xdr:colOff>572</xdr:colOff>
      <xdr:row>59</xdr:row>
      <xdr:rowOff>28248</xdr:rowOff>
    </xdr:to>
    <xdr:sp macro="" textlink="">
      <xdr:nvSpPr>
        <xdr:cNvPr id="1395" name="正方形/長方形 1394"/>
        <xdr:cNvSpPr/>
      </xdr:nvSpPr>
      <xdr:spPr>
        <a:xfrm>
          <a:off x="43309208" y="9639291"/>
          <a:ext cx="2489805" cy="485457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共通コンテンツカテゴリー</a:t>
          </a:r>
          <a:r>
            <a:rPr kumimoji="1" lang="en-US" altLang="ja-JP" sz="1100"/>
            <a:t>(</a:t>
          </a:r>
          <a:r>
            <a:rPr kumimoji="1" lang="ja-JP" altLang="en-US" sz="1100"/>
            <a:t>親</a:t>
          </a:r>
          <a:r>
            <a:rPr kumimoji="1" lang="en-US" altLang="ja-JP" sz="1100"/>
            <a:t>)</a:t>
          </a:r>
        </a:p>
        <a:p>
          <a:pPr algn="ctr"/>
          <a:r>
            <a:rPr kumimoji="1" lang="en-US" altLang="ja-JP" sz="1100"/>
            <a:t>(Contentscategoryparent)</a:t>
          </a:r>
        </a:p>
      </xdr:txBody>
    </xdr:sp>
    <xdr:clientData/>
  </xdr:twoCellAnchor>
  <xdr:twoCellAnchor>
    <xdr:from>
      <xdr:col>63</xdr:col>
      <xdr:colOff>245002</xdr:colOff>
      <xdr:row>59</xdr:row>
      <xdr:rowOff>31390</xdr:rowOff>
    </xdr:from>
    <xdr:to>
      <xdr:col>67</xdr:col>
      <xdr:colOff>572</xdr:colOff>
      <xdr:row>69</xdr:row>
      <xdr:rowOff>44824</xdr:rowOff>
    </xdr:to>
    <xdr:sp macro="" textlink="">
      <xdr:nvSpPr>
        <xdr:cNvPr id="1396" name="正方形/長方形 1395"/>
        <xdr:cNvSpPr/>
      </xdr:nvSpPr>
      <xdr:spPr>
        <a:xfrm>
          <a:off x="43309208" y="10127890"/>
          <a:ext cx="2489805" cy="169431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共通コンテンツカテゴリ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ー名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親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・ショート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URL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タグ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(PC)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タグ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スマホ用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meta description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meta keywords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67</xdr:col>
      <xdr:colOff>69025</xdr:colOff>
      <xdr:row>69</xdr:row>
      <xdr:rowOff>29126</xdr:rowOff>
    </xdr:from>
    <xdr:to>
      <xdr:col>70</xdr:col>
      <xdr:colOff>468463</xdr:colOff>
      <xdr:row>72</xdr:row>
      <xdr:rowOff>29596</xdr:rowOff>
    </xdr:to>
    <xdr:sp macro="" textlink="">
      <xdr:nvSpPr>
        <xdr:cNvPr id="1397" name="正方形/長方形 1396"/>
        <xdr:cNvSpPr/>
      </xdr:nvSpPr>
      <xdr:spPr>
        <a:xfrm>
          <a:off x="45867466" y="11806508"/>
          <a:ext cx="2450115" cy="5047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共通コンテンツカテゴリー</a:t>
          </a:r>
          <a:endParaRPr kumimoji="1" lang="en-US" altLang="ja-JP" sz="1100"/>
        </a:p>
        <a:p>
          <a:pPr algn="ctr"/>
          <a:r>
            <a:rPr kumimoji="1" lang="en-US" altLang="ja-JP" sz="1100"/>
            <a:t>(Contentscategory)</a:t>
          </a:r>
        </a:p>
      </xdr:txBody>
    </xdr:sp>
    <xdr:clientData/>
  </xdr:twoCellAnchor>
  <xdr:twoCellAnchor>
    <xdr:from>
      <xdr:col>67</xdr:col>
      <xdr:colOff>69025</xdr:colOff>
      <xdr:row>72</xdr:row>
      <xdr:rowOff>13459</xdr:rowOff>
    </xdr:from>
    <xdr:to>
      <xdr:col>70</xdr:col>
      <xdr:colOff>468463</xdr:colOff>
      <xdr:row>82</xdr:row>
      <xdr:rowOff>112058</xdr:rowOff>
    </xdr:to>
    <xdr:sp macro="" textlink="">
      <xdr:nvSpPr>
        <xdr:cNvPr id="1398" name="正方形/長方形 1397"/>
        <xdr:cNvSpPr/>
      </xdr:nvSpPr>
      <xdr:spPr>
        <a:xfrm>
          <a:off x="45867466" y="12295106"/>
          <a:ext cx="2450115" cy="17794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共通コンテンツカテゴリー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親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0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共通コンテンツカテゴリ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ー名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・カテゴリーショート</a:t>
          </a:r>
          <a:r>
            <a:rPr lang="en-US" altLang="ja-JP">
              <a:solidFill>
                <a:sysClr val="windowText" lastClr="000000"/>
              </a:solidFill>
              <a:effectLst/>
            </a:rPr>
            <a:t>URL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  <a:r>
            <a:rPr lang="ja-JP" altLang="en-US">
              <a:solidFill>
                <a:sysClr val="windowText" lastClr="000000"/>
              </a:solidFill>
              <a:effectLst/>
            </a:rPr>
            <a:t>タグ</a:t>
          </a:r>
          <a:r>
            <a:rPr lang="en-US" altLang="ja-JP">
              <a:solidFill>
                <a:sysClr val="windowText" lastClr="000000"/>
              </a:solidFill>
              <a:effectLst/>
            </a:rPr>
            <a:t>(PC</a:t>
          </a:r>
          <a:r>
            <a:rPr lang="ja-JP" altLang="en-US">
              <a:solidFill>
                <a:sysClr val="windowText" lastClr="000000"/>
              </a:solidFill>
              <a:effectLst/>
            </a:rPr>
            <a:t>用</a:t>
          </a:r>
          <a:r>
            <a:rPr lang="en-US" altLang="ja-JP">
              <a:solidFill>
                <a:sysClr val="windowText" lastClr="000000"/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タグ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スマホ用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meta description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meta keyword</a:t>
          </a:r>
        </a:p>
      </xdr:txBody>
    </xdr:sp>
    <xdr:clientData/>
  </xdr:twoCellAnchor>
  <xdr:twoCellAnchor>
    <xdr:from>
      <xdr:col>67</xdr:col>
      <xdr:colOff>572</xdr:colOff>
      <xdr:row>64</xdr:row>
      <xdr:rowOff>38107</xdr:rowOff>
    </xdr:from>
    <xdr:to>
      <xdr:col>68</xdr:col>
      <xdr:colOff>610524</xdr:colOff>
      <xdr:row>69</xdr:row>
      <xdr:rowOff>29126</xdr:rowOff>
    </xdr:to>
    <xdr:cxnSp macro="">
      <xdr:nvCxnSpPr>
        <xdr:cNvPr id="1399" name="カギ線コネクタ 1398"/>
        <xdr:cNvCxnSpPr>
          <a:stCxn id="1396" idx="3"/>
          <a:endCxn id="1397" idx="0"/>
        </xdr:cNvCxnSpPr>
      </xdr:nvCxnSpPr>
      <xdr:spPr>
        <a:xfrm>
          <a:off x="45799013" y="10975048"/>
          <a:ext cx="1293511" cy="831460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367541</xdr:colOff>
      <xdr:row>93</xdr:row>
      <xdr:rowOff>22883</xdr:rowOff>
    </xdr:from>
    <xdr:to>
      <xdr:col>76</xdr:col>
      <xdr:colOff>565990</xdr:colOff>
      <xdr:row>95</xdr:row>
      <xdr:rowOff>45538</xdr:rowOff>
    </xdr:to>
    <xdr:sp macro="" textlink="">
      <xdr:nvSpPr>
        <xdr:cNvPr id="1400" name="正方形/長方形 1399"/>
        <xdr:cNvSpPr/>
      </xdr:nvSpPr>
      <xdr:spPr>
        <a:xfrm>
          <a:off x="48672898" y="16637204"/>
          <a:ext cx="3600235" cy="376441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メールテンプレート</a:t>
          </a:r>
          <a:r>
            <a:rPr kumimoji="1" lang="en-US" altLang="ja-JP" sz="1100"/>
            <a:t>(Mailtemplate)</a:t>
          </a:r>
        </a:p>
      </xdr:txBody>
    </xdr:sp>
    <xdr:clientData/>
  </xdr:twoCellAnchor>
  <xdr:twoCellAnchor>
    <xdr:from>
      <xdr:col>71</xdr:col>
      <xdr:colOff>367541</xdr:colOff>
      <xdr:row>95</xdr:row>
      <xdr:rowOff>37474</xdr:rowOff>
    </xdr:from>
    <xdr:to>
      <xdr:col>76</xdr:col>
      <xdr:colOff>565990</xdr:colOff>
      <xdr:row>101</xdr:row>
      <xdr:rowOff>171199</xdr:rowOff>
    </xdr:to>
    <xdr:sp macro="" textlink="">
      <xdr:nvSpPr>
        <xdr:cNvPr id="1401" name="正方形/長方形 1400"/>
        <xdr:cNvSpPr/>
      </xdr:nvSpPr>
      <xdr:spPr>
        <a:xfrm>
          <a:off x="48672898" y="17005581"/>
          <a:ext cx="3600235" cy="119508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・メールテンプレート名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・ヘッダー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・フッター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71</xdr:col>
      <xdr:colOff>402061</xdr:colOff>
      <xdr:row>105</xdr:row>
      <xdr:rowOff>117565</xdr:rowOff>
    </xdr:from>
    <xdr:to>
      <xdr:col>76</xdr:col>
      <xdr:colOff>591342</xdr:colOff>
      <xdr:row>107</xdr:row>
      <xdr:rowOff>154790</xdr:rowOff>
    </xdr:to>
    <xdr:sp macro="" textlink="">
      <xdr:nvSpPr>
        <xdr:cNvPr id="1402" name="正方形/長方形 1401"/>
        <xdr:cNvSpPr/>
      </xdr:nvSpPr>
      <xdr:spPr>
        <a:xfrm>
          <a:off x="48707418" y="18854601"/>
          <a:ext cx="3591067" cy="39101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メールフォーマット</a:t>
          </a:r>
          <a:r>
            <a:rPr kumimoji="1" lang="en-US" altLang="ja-JP" sz="1100"/>
            <a:t>(Mailformat)</a:t>
          </a:r>
        </a:p>
      </xdr:txBody>
    </xdr:sp>
    <xdr:clientData/>
  </xdr:twoCellAnchor>
  <xdr:twoCellAnchor>
    <xdr:from>
      <xdr:col>71</xdr:col>
      <xdr:colOff>402061</xdr:colOff>
      <xdr:row>107</xdr:row>
      <xdr:rowOff>146727</xdr:rowOff>
    </xdr:from>
    <xdr:to>
      <xdr:col>76</xdr:col>
      <xdr:colOff>591342</xdr:colOff>
      <xdr:row>118</xdr:row>
      <xdr:rowOff>56029</xdr:rowOff>
    </xdr:to>
    <xdr:sp macro="" textlink="">
      <xdr:nvSpPr>
        <xdr:cNvPr id="1403" name="正方形/長方形 1402"/>
        <xdr:cNvSpPr/>
      </xdr:nvSpPr>
      <xdr:spPr>
        <a:xfrm>
          <a:off x="49093861" y="18663327"/>
          <a:ext cx="3618281" cy="179525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・フォーマット名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・メールテンプレート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・コード名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・メール件名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・メール本文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・フォーマットカテゴリー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・選択可能域コード</a:t>
          </a:r>
          <a:endParaRPr lang="ja-JP" altLang="ja-JP"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74</xdr:col>
      <xdr:colOff>126588</xdr:colOff>
      <xdr:row>101</xdr:row>
      <xdr:rowOff>171198</xdr:rowOff>
    </xdr:from>
    <xdr:to>
      <xdr:col>74</xdr:col>
      <xdr:colOff>156524</xdr:colOff>
      <xdr:row>105</xdr:row>
      <xdr:rowOff>117564</xdr:rowOff>
    </xdr:to>
    <xdr:cxnSp macro="">
      <xdr:nvCxnSpPr>
        <xdr:cNvPr id="1404" name="カギ線コネクタ 1403"/>
        <xdr:cNvCxnSpPr>
          <a:stCxn id="1401" idx="2"/>
          <a:endCxn id="1402" idx="0"/>
        </xdr:cNvCxnSpPr>
      </xdr:nvCxnSpPr>
      <xdr:spPr>
        <a:xfrm rot="16200000" flipH="1">
          <a:off x="50161016" y="18512663"/>
          <a:ext cx="653938" cy="29936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79389</xdr:colOff>
      <xdr:row>77</xdr:row>
      <xdr:rowOff>95250</xdr:rowOff>
    </xdr:from>
    <xdr:to>
      <xdr:col>74</xdr:col>
      <xdr:colOff>447675</xdr:colOff>
      <xdr:row>80</xdr:row>
      <xdr:rowOff>104552</xdr:rowOff>
    </xdr:to>
    <xdr:sp macro="" textlink="">
      <xdr:nvSpPr>
        <xdr:cNvPr id="1405" name="正方形/長方形 1404"/>
        <xdr:cNvSpPr/>
      </xdr:nvSpPr>
      <xdr:spPr>
        <a:xfrm>
          <a:off x="48771189" y="13468350"/>
          <a:ext cx="2425686" cy="523652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テーマカラーカテゴリー</a:t>
          </a:r>
          <a:endParaRPr kumimoji="1" lang="en-US" altLang="ja-JP" sz="1100"/>
        </a:p>
        <a:p>
          <a:pPr algn="ctr"/>
          <a:r>
            <a:rPr kumimoji="1" lang="en-US" altLang="ja-JP" sz="1100"/>
            <a:t>(Themecolorcategory)</a:t>
          </a:r>
        </a:p>
      </xdr:txBody>
    </xdr:sp>
    <xdr:clientData/>
  </xdr:twoCellAnchor>
  <xdr:twoCellAnchor>
    <xdr:from>
      <xdr:col>71</xdr:col>
      <xdr:colOff>79389</xdr:colOff>
      <xdr:row>80</xdr:row>
      <xdr:rowOff>96489</xdr:rowOff>
    </xdr:from>
    <xdr:to>
      <xdr:col>74</xdr:col>
      <xdr:colOff>447675</xdr:colOff>
      <xdr:row>82</xdr:row>
      <xdr:rowOff>75070</xdr:rowOff>
    </xdr:to>
    <xdr:sp macro="" textlink="">
      <xdr:nvSpPr>
        <xdr:cNvPr id="1406" name="正方形/長方形 1405"/>
        <xdr:cNvSpPr/>
      </xdr:nvSpPr>
      <xdr:spPr>
        <a:xfrm>
          <a:off x="48771189" y="13983939"/>
          <a:ext cx="2425686" cy="3214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・カテゴリー名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71</xdr:col>
      <xdr:colOff>587175</xdr:colOff>
      <xdr:row>85</xdr:row>
      <xdr:rowOff>168020</xdr:rowOff>
    </xdr:from>
    <xdr:to>
      <xdr:col>77</xdr:col>
      <xdr:colOff>105267</xdr:colOff>
      <xdr:row>88</xdr:row>
      <xdr:rowOff>32833</xdr:rowOff>
    </xdr:to>
    <xdr:sp macro="" textlink="">
      <xdr:nvSpPr>
        <xdr:cNvPr id="1407" name="正方形/長方形 1406"/>
        <xdr:cNvSpPr/>
      </xdr:nvSpPr>
      <xdr:spPr>
        <a:xfrm>
          <a:off x="48892532" y="15367199"/>
          <a:ext cx="3600235" cy="395491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テーマカラー</a:t>
          </a:r>
          <a:r>
            <a:rPr kumimoji="1" lang="en-US" altLang="ja-JP" sz="1100"/>
            <a:t>(Themecolor)</a:t>
          </a:r>
        </a:p>
      </xdr:txBody>
    </xdr:sp>
    <xdr:clientData/>
  </xdr:twoCellAnchor>
  <xdr:twoCellAnchor>
    <xdr:from>
      <xdr:col>71</xdr:col>
      <xdr:colOff>587175</xdr:colOff>
      <xdr:row>88</xdr:row>
      <xdr:rowOff>24769</xdr:rowOff>
    </xdr:from>
    <xdr:to>
      <xdr:col>77</xdr:col>
      <xdr:colOff>105267</xdr:colOff>
      <xdr:row>91</xdr:row>
      <xdr:rowOff>73388</xdr:rowOff>
    </xdr:to>
    <xdr:sp macro="" textlink="">
      <xdr:nvSpPr>
        <xdr:cNvPr id="1408" name="正方形/長方形 1407"/>
        <xdr:cNvSpPr/>
      </xdr:nvSpPr>
      <xdr:spPr>
        <a:xfrm>
          <a:off x="48892532" y="15754626"/>
          <a:ext cx="3600235" cy="57929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・テーマカラーカテゴリー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・テーマカラー名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72</xdr:col>
      <xdr:colOff>606431</xdr:colOff>
      <xdr:row>82</xdr:row>
      <xdr:rowOff>75070</xdr:rowOff>
    </xdr:from>
    <xdr:to>
      <xdr:col>74</xdr:col>
      <xdr:colOff>346220</xdr:colOff>
      <xdr:row>85</xdr:row>
      <xdr:rowOff>168020</xdr:rowOff>
    </xdr:to>
    <xdr:cxnSp macro="">
      <xdr:nvCxnSpPr>
        <xdr:cNvPr id="1409" name="カギ線コネクタ 1408"/>
        <xdr:cNvCxnSpPr>
          <a:stCxn id="1406" idx="2"/>
          <a:endCxn id="1407" idx="0"/>
        </xdr:cNvCxnSpPr>
      </xdr:nvCxnSpPr>
      <xdr:spPr>
        <a:xfrm rot="16200000" flipH="1">
          <a:off x="50236076" y="14053375"/>
          <a:ext cx="607300" cy="1111389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23</xdr:col>
      <xdr:colOff>625929</xdr:colOff>
      <xdr:row>24</xdr:row>
      <xdr:rowOff>18120</xdr:rowOff>
    </xdr:from>
    <xdr:to>
      <xdr:col>28</xdr:col>
      <xdr:colOff>157547</xdr:colOff>
      <xdr:row>27</xdr:row>
      <xdr:rowOff>48455</xdr:rowOff>
    </xdr:to>
    <xdr:pic>
      <xdr:nvPicPr>
        <xdr:cNvPr id="1412" name="図 14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61179" y="4590120"/>
          <a:ext cx="2865368" cy="601835"/>
        </a:xfrm>
        <a:prstGeom prst="rect">
          <a:avLst/>
        </a:prstGeom>
      </xdr:spPr>
    </xdr:pic>
    <xdr:clientData/>
  </xdr:twoCellAnchor>
  <xdr:twoCellAnchor>
    <xdr:from>
      <xdr:col>65</xdr:col>
      <xdr:colOff>58099</xdr:colOff>
      <xdr:row>85</xdr:row>
      <xdr:rowOff>34991</xdr:rowOff>
    </xdr:from>
    <xdr:to>
      <xdr:col>70</xdr:col>
      <xdr:colOff>256547</xdr:colOff>
      <xdr:row>87</xdr:row>
      <xdr:rowOff>48841</xdr:rowOff>
    </xdr:to>
    <xdr:sp macro="" textlink="">
      <xdr:nvSpPr>
        <xdr:cNvPr id="1413" name="正方形/長方形 1412"/>
        <xdr:cNvSpPr/>
      </xdr:nvSpPr>
      <xdr:spPr>
        <a:xfrm>
          <a:off x="44489423" y="14501785"/>
          <a:ext cx="3616242" cy="350027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注文ステータス情報</a:t>
          </a:r>
          <a:r>
            <a:rPr kumimoji="1" lang="en-US" altLang="ja-JP" sz="1100"/>
            <a:t>(orderstatuslist)</a:t>
          </a:r>
        </a:p>
      </xdr:txBody>
    </xdr:sp>
    <xdr:clientData/>
  </xdr:twoCellAnchor>
  <xdr:twoCellAnchor>
    <xdr:from>
      <xdr:col>65</xdr:col>
      <xdr:colOff>58099</xdr:colOff>
      <xdr:row>87</xdr:row>
      <xdr:rowOff>40777</xdr:rowOff>
    </xdr:from>
    <xdr:to>
      <xdr:col>70</xdr:col>
      <xdr:colOff>256547</xdr:colOff>
      <xdr:row>93</xdr:row>
      <xdr:rowOff>78441</xdr:rowOff>
    </xdr:to>
    <xdr:sp macro="" textlink="">
      <xdr:nvSpPr>
        <xdr:cNvPr id="1414" name="正方形/長方形 1413"/>
        <xdr:cNvSpPr/>
      </xdr:nvSpPr>
      <xdr:spPr>
        <a:xfrm>
          <a:off x="44489423" y="14843748"/>
          <a:ext cx="3616242" cy="104619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・ステータス名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・ステータスコード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・種別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デフォルト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その他ステータス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44</xdr:col>
      <xdr:colOff>490633</xdr:colOff>
      <xdr:row>70</xdr:row>
      <xdr:rowOff>92358</xdr:rowOff>
    </xdr:from>
    <xdr:to>
      <xdr:col>50</xdr:col>
      <xdr:colOff>349502</xdr:colOff>
      <xdr:row>74</xdr:row>
      <xdr:rowOff>30245</xdr:rowOff>
    </xdr:to>
    <xdr:sp macro="" textlink="">
      <xdr:nvSpPr>
        <xdr:cNvPr id="1416" name="正方形/長方形 1415"/>
        <xdr:cNvSpPr/>
      </xdr:nvSpPr>
      <xdr:spPr>
        <a:xfrm>
          <a:off x="30567221" y="12037829"/>
          <a:ext cx="3960222" cy="61024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コラボ・ライブラリバッファ情報</a:t>
          </a:r>
          <a:endParaRPr kumimoji="1" lang="en-US" altLang="ja-JP" sz="1100"/>
        </a:p>
        <a:p>
          <a:pPr algn="ctr"/>
          <a:r>
            <a:rPr kumimoji="1" lang="en-US" altLang="ja-JP" sz="1100"/>
            <a:t>(Contentbuffer)</a:t>
          </a:r>
        </a:p>
      </xdr:txBody>
    </xdr:sp>
    <xdr:clientData/>
  </xdr:twoCellAnchor>
  <xdr:twoCellAnchor>
    <xdr:from>
      <xdr:col>44</xdr:col>
      <xdr:colOff>490633</xdr:colOff>
      <xdr:row>74</xdr:row>
      <xdr:rowOff>1449</xdr:rowOff>
    </xdr:from>
    <xdr:to>
      <xdr:col>50</xdr:col>
      <xdr:colOff>349502</xdr:colOff>
      <xdr:row>80</xdr:row>
      <xdr:rowOff>11205</xdr:rowOff>
    </xdr:to>
    <xdr:sp macro="" textlink="">
      <xdr:nvSpPr>
        <xdr:cNvPr id="1417" name="正方形/長方形 1416"/>
        <xdr:cNvSpPr/>
      </xdr:nvSpPr>
      <xdr:spPr>
        <a:xfrm>
          <a:off x="30567221" y="12619273"/>
          <a:ext cx="3960222" cy="101828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・注文情報</a:t>
          </a:r>
          <a:r>
            <a:rPr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・コラボ参加表明情報</a:t>
          </a:r>
          <a:r>
            <a:rPr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・コラボライブラリ情報バッファ</a:t>
          </a:r>
          <a:r>
            <a:rPr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(JSON)</a:t>
          </a:r>
        </a:p>
      </xdr:txBody>
    </xdr:sp>
    <xdr:clientData/>
  </xdr:twoCellAnchor>
  <xdr:twoCellAnchor>
    <xdr:from>
      <xdr:col>46</xdr:col>
      <xdr:colOff>226766</xdr:colOff>
      <xdr:row>60</xdr:row>
      <xdr:rowOff>89647</xdr:rowOff>
    </xdr:from>
    <xdr:to>
      <xdr:col>47</xdr:col>
      <xdr:colOff>420067</xdr:colOff>
      <xdr:row>70</xdr:row>
      <xdr:rowOff>92358</xdr:rowOff>
    </xdr:to>
    <xdr:cxnSp macro="">
      <xdr:nvCxnSpPr>
        <xdr:cNvPr id="1418" name="カギ線コネクタ 1417"/>
        <xdr:cNvCxnSpPr>
          <a:stCxn id="1320" idx="2"/>
          <a:endCxn id="1416" idx="0"/>
        </xdr:cNvCxnSpPr>
      </xdr:nvCxnSpPr>
      <xdr:spPr>
        <a:xfrm rot="16200000" flipH="1">
          <a:off x="31267105" y="10757602"/>
          <a:ext cx="1683594" cy="876860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86674</xdr:colOff>
      <xdr:row>96</xdr:row>
      <xdr:rowOff>79327</xdr:rowOff>
    </xdr:from>
    <xdr:to>
      <xdr:col>70</xdr:col>
      <xdr:colOff>285122</xdr:colOff>
      <xdr:row>98</xdr:row>
      <xdr:rowOff>93180</xdr:rowOff>
    </xdr:to>
    <xdr:sp macro="" textlink="">
      <xdr:nvSpPr>
        <xdr:cNvPr id="1419" name="正方形/長方形 1418"/>
        <xdr:cNvSpPr/>
      </xdr:nvSpPr>
      <xdr:spPr>
        <a:xfrm>
          <a:off x="44517998" y="16395092"/>
          <a:ext cx="3616242" cy="350029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コラボ参加ステータス情報</a:t>
          </a:r>
          <a:r>
            <a:rPr kumimoji="1" lang="en-US" altLang="ja-JP" sz="1100"/>
            <a:t>(collabostatuslist)</a:t>
          </a:r>
        </a:p>
      </xdr:txBody>
    </xdr:sp>
    <xdr:clientData/>
  </xdr:twoCellAnchor>
  <xdr:twoCellAnchor>
    <xdr:from>
      <xdr:col>65</xdr:col>
      <xdr:colOff>86674</xdr:colOff>
      <xdr:row>98</xdr:row>
      <xdr:rowOff>85116</xdr:rowOff>
    </xdr:from>
    <xdr:to>
      <xdr:col>70</xdr:col>
      <xdr:colOff>285122</xdr:colOff>
      <xdr:row>104</xdr:row>
      <xdr:rowOff>96468</xdr:rowOff>
    </xdr:to>
    <xdr:sp macro="" textlink="">
      <xdr:nvSpPr>
        <xdr:cNvPr id="1420" name="正方形/長方形 1419"/>
        <xdr:cNvSpPr/>
      </xdr:nvSpPr>
      <xdr:spPr>
        <a:xfrm>
          <a:off x="44517998" y="16737057"/>
          <a:ext cx="3616242" cy="101988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・ステータス名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・ステータスコード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・種別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デフォルト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その他ステータス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15</xdr:col>
      <xdr:colOff>479292</xdr:colOff>
      <xdr:row>89</xdr:row>
      <xdr:rowOff>159834</xdr:rowOff>
    </xdr:from>
    <xdr:to>
      <xdr:col>21</xdr:col>
      <xdr:colOff>349206</xdr:colOff>
      <xdr:row>103</xdr:row>
      <xdr:rowOff>85725</xdr:rowOff>
    </xdr:to>
    <xdr:sp macro="" textlink="">
      <xdr:nvSpPr>
        <xdr:cNvPr id="1425" name="正方形/長方形 1424"/>
        <xdr:cNvSpPr/>
      </xdr:nvSpPr>
      <xdr:spPr>
        <a:xfrm>
          <a:off x="10766292" y="15590334"/>
          <a:ext cx="3984714" cy="232619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・仲間グループ情報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・ユーザー</a:t>
          </a:r>
          <a:r>
            <a:rPr lang="en-US" altLang="ja-JP">
              <a:effectLst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グループ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権限ステータス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通常メンバー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リーダー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・グループ申請ステータス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申請中、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申請中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メンバーから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),2: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申請承諾、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3: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申請拒否、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4: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メンバー脱退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・仲間ステータス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受信者、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発信者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479292</xdr:colOff>
      <xdr:row>86</xdr:row>
      <xdr:rowOff>100203</xdr:rowOff>
    </xdr:from>
    <xdr:to>
      <xdr:col>21</xdr:col>
      <xdr:colOff>349206</xdr:colOff>
      <xdr:row>89</xdr:row>
      <xdr:rowOff>167898</xdr:rowOff>
    </xdr:to>
    <xdr:sp macro="" textlink="">
      <xdr:nvSpPr>
        <xdr:cNvPr id="1426" name="正方形/長方形 1425"/>
        <xdr:cNvSpPr/>
      </xdr:nvSpPr>
      <xdr:spPr>
        <a:xfrm>
          <a:off x="10766292" y="15016353"/>
          <a:ext cx="3984714" cy="58204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グループユーザー情報</a:t>
          </a:r>
          <a:endParaRPr kumimoji="1" lang="en-US" altLang="ja-JP" sz="1100"/>
        </a:p>
        <a:p>
          <a:pPr algn="ctr"/>
          <a:r>
            <a:rPr kumimoji="1" lang="en-US" altLang="ja-JP" sz="1100"/>
            <a:t>(GroupUser)</a:t>
          </a:r>
        </a:p>
      </xdr:txBody>
    </xdr:sp>
    <xdr:clientData/>
  </xdr:twoCellAnchor>
  <xdr:twoCellAnchor>
    <xdr:from>
      <xdr:col>14</xdr:col>
      <xdr:colOff>276768</xdr:colOff>
      <xdr:row>95</xdr:row>
      <xdr:rowOff>118777</xdr:rowOff>
    </xdr:from>
    <xdr:to>
      <xdr:col>15</xdr:col>
      <xdr:colOff>479292</xdr:colOff>
      <xdr:row>96</xdr:row>
      <xdr:rowOff>122780</xdr:rowOff>
    </xdr:to>
    <xdr:cxnSp macro="">
      <xdr:nvCxnSpPr>
        <xdr:cNvPr id="1427" name="カギ線コネクタ 1426"/>
        <xdr:cNvCxnSpPr>
          <a:stCxn id="1335" idx="3"/>
          <a:endCxn id="1425" idx="1"/>
        </xdr:cNvCxnSpPr>
      </xdr:nvCxnSpPr>
      <xdr:spPr>
        <a:xfrm>
          <a:off x="9877968" y="16577977"/>
          <a:ext cx="888324" cy="175453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66118</xdr:colOff>
      <xdr:row>35</xdr:row>
      <xdr:rowOff>13916</xdr:rowOff>
    </xdr:from>
    <xdr:to>
      <xdr:col>11</xdr:col>
      <xdr:colOff>341812</xdr:colOff>
      <xdr:row>83</xdr:row>
      <xdr:rowOff>38099</xdr:rowOff>
    </xdr:to>
    <xdr:cxnSp macro="">
      <xdr:nvCxnSpPr>
        <xdr:cNvPr id="1428" name="カギ線コネクタ 1427"/>
        <xdr:cNvCxnSpPr>
          <a:stCxn id="1368" idx="2"/>
          <a:endCxn id="1334" idx="0"/>
        </xdr:cNvCxnSpPr>
      </xdr:nvCxnSpPr>
      <xdr:spPr>
        <a:xfrm rot="16200000" flipH="1">
          <a:off x="2935073" y="9489361"/>
          <a:ext cx="8253783" cy="1647294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prstDash val="sysDash"/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484655</xdr:colOff>
      <xdr:row>46</xdr:row>
      <xdr:rowOff>25123</xdr:rowOff>
    </xdr:from>
    <xdr:to>
      <xdr:col>9</xdr:col>
      <xdr:colOff>499741</xdr:colOff>
      <xdr:row>49</xdr:row>
      <xdr:rowOff>47587</xdr:rowOff>
    </xdr:to>
    <xdr:sp macro="" textlink="">
      <xdr:nvSpPr>
        <xdr:cNvPr id="1429" name="正方形/長方形 1428"/>
        <xdr:cNvSpPr/>
      </xdr:nvSpPr>
      <xdr:spPr>
        <a:xfrm>
          <a:off x="3818405" y="8978623"/>
          <a:ext cx="2682086" cy="59396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ユーザーオプション情報</a:t>
          </a:r>
          <a:endParaRPr kumimoji="1" lang="en-US" altLang="ja-JP" sz="1100"/>
        </a:p>
        <a:p>
          <a:pPr algn="ctr"/>
          <a:r>
            <a:rPr kumimoji="1" lang="en-US" altLang="ja-JP" sz="1100"/>
            <a:t>(Useroption)</a:t>
          </a:r>
          <a:endParaRPr kumimoji="1" lang="ja-JP" altLang="en-US" sz="1100"/>
        </a:p>
      </xdr:txBody>
    </xdr:sp>
    <xdr:clientData/>
  </xdr:twoCellAnchor>
  <xdr:twoCellAnchor>
    <xdr:from>
      <xdr:col>5</xdr:col>
      <xdr:colOff>484655</xdr:colOff>
      <xdr:row>49</xdr:row>
      <xdr:rowOff>48245</xdr:rowOff>
    </xdr:from>
    <xdr:to>
      <xdr:col>9</xdr:col>
      <xdr:colOff>499227</xdr:colOff>
      <xdr:row>54</xdr:row>
      <xdr:rowOff>47536</xdr:rowOff>
    </xdr:to>
    <xdr:sp macro="" textlink="">
      <xdr:nvSpPr>
        <xdr:cNvPr id="1430" name="正方形/長方形 1429"/>
        <xdr:cNvSpPr/>
      </xdr:nvSpPr>
      <xdr:spPr>
        <a:xfrm>
          <a:off x="3921938" y="8736702"/>
          <a:ext cx="2764398" cy="86896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・会員情報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・オプション名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・値</a:t>
          </a:r>
          <a:endParaRPr lang="ja-JP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38</xdr:col>
      <xdr:colOff>530680</xdr:colOff>
      <xdr:row>77</xdr:row>
      <xdr:rowOff>6328</xdr:rowOff>
    </xdr:from>
    <xdr:to>
      <xdr:col>44</xdr:col>
      <xdr:colOff>490634</xdr:colOff>
      <xdr:row>173</xdr:row>
      <xdr:rowOff>16471</xdr:rowOff>
    </xdr:to>
    <xdr:cxnSp macro="">
      <xdr:nvCxnSpPr>
        <xdr:cNvPr id="137" name="カギ線コネクタ 136"/>
        <xdr:cNvCxnSpPr>
          <a:stCxn id="1417" idx="1"/>
          <a:endCxn id="1326" idx="3"/>
        </xdr:cNvCxnSpPr>
      </xdr:nvCxnSpPr>
      <xdr:spPr>
        <a:xfrm rot="10800000" flipV="1">
          <a:off x="26505915" y="13128416"/>
          <a:ext cx="4061307" cy="16146614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75639</xdr:colOff>
      <xdr:row>13</xdr:row>
      <xdr:rowOff>119378</xdr:rowOff>
    </xdr:from>
    <xdr:to>
      <xdr:col>17</xdr:col>
      <xdr:colOff>90725</xdr:colOff>
      <xdr:row>16</xdr:row>
      <xdr:rowOff>141842</xdr:rowOff>
    </xdr:to>
    <xdr:sp macro="" textlink="">
      <xdr:nvSpPr>
        <xdr:cNvPr id="135" name="正方形/長方形 134"/>
        <xdr:cNvSpPr/>
      </xdr:nvSpPr>
      <xdr:spPr>
        <a:xfrm>
          <a:off x="8961904" y="2304525"/>
          <a:ext cx="2749321" cy="52672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お気に入り情報</a:t>
          </a:r>
          <a:endParaRPr kumimoji="1" lang="en-US" altLang="ja-JP" sz="1100"/>
        </a:p>
        <a:p>
          <a:pPr algn="ctr"/>
          <a:r>
            <a:rPr kumimoji="1" lang="en-US" altLang="ja-JP" sz="1100"/>
            <a:t>(Contentlike)</a:t>
          </a:r>
          <a:endParaRPr kumimoji="1" lang="ja-JP" altLang="en-US" sz="1100"/>
        </a:p>
      </xdr:txBody>
    </xdr:sp>
    <xdr:clientData/>
  </xdr:twoCellAnchor>
  <xdr:twoCellAnchor>
    <xdr:from>
      <xdr:col>13</xdr:col>
      <xdr:colOff>75639</xdr:colOff>
      <xdr:row>16</xdr:row>
      <xdr:rowOff>142499</xdr:rowOff>
    </xdr:from>
    <xdr:to>
      <xdr:col>17</xdr:col>
      <xdr:colOff>90211</xdr:colOff>
      <xdr:row>21</xdr:row>
      <xdr:rowOff>11205</xdr:rowOff>
    </xdr:to>
    <xdr:sp macro="" textlink="">
      <xdr:nvSpPr>
        <xdr:cNvPr id="138" name="正方形/長方形 137"/>
        <xdr:cNvSpPr/>
      </xdr:nvSpPr>
      <xdr:spPr>
        <a:xfrm>
          <a:off x="8961904" y="2831911"/>
          <a:ext cx="2748807" cy="70914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・会員情報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・コラボ、ライブラリ共通情報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</xdr:txBody>
    </xdr:sp>
    <xdr:clientData/>
  </xdr:twoCellAnchor>
  <xdr:twoCellAnchor>
    <xdr:from>
      <xdr:col>7</xdr:col>
      <xdr:colOff>492198</xdr:colOff>
      <xdr:row>35</xdr:row>
      <xdr:rowOff>13917</xdr:rowOff>
    </xdr:from>
    <xdr:to>
      <xdr:col>9</xdr:col>
      <xdr:colOff>66116</xdr:colOff>
      <xdr:row>46</xdr:row>
      <xdr:rowOff>25123</xdr:rowOff>
    </xdr:to>
    <xdr:cxnSp macro="">
      <xdr:nvCxnSpPr>
        <xdr:cNvPr id="1370" name="カギ線コネクタ 1369"/>
        <xdr:cNvCxnSpPr>
          <a:stCxn id="1368" idx="2"/>
          <a:endCxn id="1429" idx="0"/>
        </xdr:cNvCxnSpPr>
      </xdr:nvCxnSpPr>
      <xdr:spPr>
        <a:xfrm rot="5400000">
          <a:off x="4559804" y="7471561"/>
          <a:ext cx="2106706" cy="907418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73403</xdr:colOff>
      <xdr:row>18</xdr:row>
      <xdr:rowOff>160897</xdr:rowOff>
    </xdr:from>
    <xdr:to>
      <xdr:col>13</xdr:col>
      <xdr:colOff>75639</xdr:colOff>
      <xdr:row>25</xdr:row>
      <xdr:rowOff>630</xdr:rowOff>
    </xdr:to>
    <xdr:cxnSp macro="">
      <xdr:nvCxnSpPr>
        <xdr:cNvPr id="139" name="カギ線コネクタ 138"/>
        <xdr:cNvCxnSpPr>
          <a:stCxn id="1368" idx="3"/>
          <a:endCxn id="138" idx="1"/>
        </xdr:cNvCxnSpPr>
      </xdr:nvCxnSpPr>
      <xdr:spPr>
        <a:xfrm flipV="1">
          <a:off x="7592550" y="3186485"/>
          <a:ext cx="1369354" cy="1016351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95398</xdr:colOff>
      <xdr:row>106</xdr:row>
      <xdr:rowOff>103095</xdr:rowOff>
    </xdr:from>
    <xdr:to>
      <xdr:col>70</xdr:col>
      <xdr:colOff>293847</xdr:colOff>
      <xdr:row>109</xdr:row>
      <xdr:rowOff>141829</xdr:rowOff>
    </xdr:to>
    <xdr:sp macro="" textlink="">
      <xdr:nvSpPr>
        <xdr:cNvPr id="140" name="正方形/長方形 139"/>
        <xdr:cNvSpPr/>
      </xdr:nvSpPr>
      <xdr:spPr>
        <a:xfrm>
          <a:off x="44526722" y="18099742"/>
          <a:ext cx="3616243" cy="542999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検索キーワード情報</a:t>
          </a:r>
          <a:endParaRPr kumimoji="1" lang="en-US" altLang="ja-JP" sz="1100"/>
        </a:p>
        <a:p>
          <a:pPr algn="ctr"/>
          <a:r>
            <a:rPr kumimoji="1" lang="ja-JP" altLang="en-US" sz="1100"/>
            <a:t>（</a:t>
          </a:r>
          <a:r>
            <a:rPr kumimoji="1" lang="en-US" altLang="ja-JP" sz="1100"/>
            <a:t>keywords)</a:t>
          </a:r>
        </a:p>
      </xdr:txBody>
    </xdr:sp>
    <xdr:clientData/>
  </xdr:twoCellAnchor>
  <xdr:twoCellAnchor>
    <xdr:from>
      <xdr:col>65</xdr:col>
      <xdr:colOff>95398</xdr:colOff>
      <xdr:row>109</xdr:row>
      <xdr:rowOff>133765</xdr:rowOff>
    </xdr:from>
    <xdr:to>
      <xdr:col>70</xdr:col>
      <xdr:colOff>293847</xdr:colOff>
      <xdr:row>114</xdr:row>
      <xdr:rowOff>26894</xdr:rowOff>
    </xdr:to>
    <xdr:sp macro="" textlink="">
      <xdr:nvSpPr>
        <xdr:cNvPr id="141" name="正方形/長方形 140"/>
        <xdr:cNvSpPr/>
      </xdr:nvSpPr>
      <xdr:spPr>
        <a:xfrm>
          <a:off x="44526722" y="18634677"/>
          <a:ext cx="3616243" cy="73357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・キーワード名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・キーワードコード</a:t>
          </a:r>
          <a:r>
            <a:rPr lang="en-US" altLang="ja-JP">
              <a:solidFill>
                <a:sysClr val="windowText" lastClr="000000"/>
              </a:solidFill>
              <a:effectLst/>
            </a:rPr>
            <a:t>(URL)</a:t>
          </a:r>
        </a:p>
      </xdr:txBody>
    </xdr:sp>
    <xdr:clientData/>
  </xdr:twoCellAnchor>
  <xdr:twoCellAnchor>
    <xdr:from>
      <xdr:col>1</xdr:col>
      <xdr:colOff>17427</xdr:colOff>
      <xdr:row>50</xdr:row>
      <xdr:rowOff>68495</xdr:rowOff>
    </xdr:from>
    <xdr:to>
      <xdr:col>5</xdr:col>
      <xdr:colOff>376095</xdr:colOff>
      <xdr:row>119</xdr:row>
      <xdr:rowOff>98830</xdr:rowOff>
    </xdr:to>
    <xdr:sp macro="" textlink="">
      <xdr:nvSpPr>
        <xdr:cNvPr id="144" name="正方形/長方形 143"/>
        <xdr:cNvSpPr/>
      </xdr:nvSpPr>
      <xdr:spPr>
        <a:xfrm>
          <a:off x="697784" y="9076424"/>
          <a:ext cx="3080097" cy="1223594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chemeClr val="bg1"/>
              </a:solidFill>
              <a:effectLst/>
            </a:rPr>
            <a:t>主なオプション一覧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endParaRPr lang="en-US" altLang="ja-JP">
            <a:solidFill>
              <a:schemeClr val="bg1"/>
            </a:solidFill>
            <a:effectLst/>
          </a:endParaRPr>
        </a:p>
        <a:p>
          <a:r>
            <a:rPr lang="ja-JP" altLang="en-US">
              <a:solidFill>
                <a:schemeClr val="bg1"/>
              </a:solidFill>
              <a:effectLst/>
            </a:rPr>
            <a:t>・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・ニックネーム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・アイコン画像タグ番号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・性別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男性、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女性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・郵便番号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・都道府県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・市区町村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・丁目番地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・その他住所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・電話番号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・職種情報公開ステータス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・生年月日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・年齢公開ステータス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</a:t>
          </a:r>
          <a:r>
            <a:rPr kumimoji="1"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・紹介説明文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ショート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・メッセージ新着通知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・ライブラリ受注通知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・コラボ参加表明通知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・仲間承認通知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・グループ承認通知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・テーマカラー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・レイアウトステータス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ユーザー個人用、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テーマをコンテンツ画面にも反映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・仲間申請レベル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・グループ参加レベル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・法人ステータス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(0:off,1:on)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・法人会社名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・法人事業内容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・法人連絡先電話番号</a:t>
          </a:r>
          <a:endParaRPr lang="en-US" altLang="ja-JP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・メッセージ通知設定</a:t>
          </a:r>
          <a:endParaRPr lang="en-US" altLang="ja-JP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受付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,2:</a:t>
          </a:r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受け付けない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algn="l"/>
          <a:endParaRPr lang="ja-JP" altLang="ja-JP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14</xdr:col>
      <xdr:colOff>615843</xdr:colOff>
      <xdr:row>102</xdr:row>
      <xdr:rowOff>72837</xdr:rowOff>
    </xdr:from>
    <xdr:to>
      <xdr:col>21</xdr:col>
      <xdr:colOff>590550</xdr:colOff>
      <xdr:row>113</xdr:row>
      <xdr:rowOff>38100</xdr:rowOff>
    </xdr:to>
    <xdr:sp macro="" textlink="">
      <xdr:nvSpPr>
        <xdr:cNvPr id="1369" name="正方形/長方形 1368"/>
        <xdr:cNvSpPr/>
      </xdr:nvSpPr>
      <xdr:spPr>
        <a:xfrm>
          <a:off x="10217043" y="17732187"/>
          <a:ext cx="4775307" cy="185121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en-US" altLang="ja-JP">
              <a:solidFill>
                <a:schemeClr val="bg1"/>
              </a:solidFill>
              <a:effectLst/>
            </a:rPr>
            <a:t>2016 12/15</a:t>
          </a:r>
        </a:p>
        <a:p>
          <a:pPr algn="l"/>
          <a:r>
            <a:rPr lang="ja-JP" altLang="en-US">
              <a:solidFill>
                <a:schemeClr val="bg1"/>
              </a:solidFill>
              <a:effectLst/>
            </a:rPr>
            <a:t>現状混合しての検索・ページ分けができないのと、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r>
            <a:rPr lang="ja-JP" altLang="en-US">
              <a:solidFill>
                <a:schemeClr val="bg1"/>
              </a:solidFill>
              <a:effectLst/>
            </a:rPr>
            <a:t>大きく２つの機能に分かれてしまい複雑になりつつあるので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r>
            <a:rPr lang="ja-JP" altLang="en-US">
              <a:solidFill>
                <a:schemeClr val="bg1"/>
              </a:solidFill>
              <a:effectLst/>
            </a:rPr>
            <a:t>仲間情報とグループ情報を統合することに決定！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r>
            <a:rPr lang="en-US" altLang="ja-JP">
              <a:solidFill>
                <a:schemeClr val="bg1"/>
              </a:solidFill>
              <a:effectLst/>
            </a:rPr>
            <a:t>(</a:t>
          </a:r>
          <a:r>
            <a:rPr lang="ja-JP" altLang="en-US">
              <a:solidFill>
                <a:schemeClr val="bg1"/>
              </a:solidFill>
              <a:effectLst/>
            </a:rPr>
            <a:t>内部上は</a:t>
          </a:r>
          <a:r>
            <a:rPr lang="en-US" altLang="ja-JP">
              <a:solidFill>
                <a:schemeClr val="bg1"/>
              </a:solidFill>
              <a:effectLst/>
            </a:rPr>
            <a:t>)</a:t>
          </a:r>
        </a:p>
        <a:p>
          <a:pPr algn="l"/>
          <a:endParaRPr lang="en-US" altLang="ja-JP">
            <a:solidFill>
              <a:schemeClr val="bg1"/>
            </a:solidFill>
            <a:effectLst/>
          </a:endParaRPr>
        </a:p>
        <a:p>
          <a:pPr algn="l"/>
          <a:r>
            <a:rPr lang="ja-JP" altLang="en-US">
              <a:solidFill>
                <a:schemeClr val="bg1"/>
              </a:solidFill>
              <a:effectLst/>
            </a:rPr>
            <a:t>仲間関係はグループの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r>
            <a:rPr lang="ja-JP" altLang="en-US">
              <a:solidFill>
                <a:schemeClr val="bg1"/>
              </a:solidFill>
              <a:effectLst/>
            </a:rPr>
            <a:t>種類上の「仲間」となる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r>
            <a:rPr lang="ja-JP" altLang="en-US">
              <a:solidFill>
                <a:schemeClr val="bg1"/>
              </a:solidFill>
              <a:effectLst/>
            </a:rPr>
            <a:t>発信者と受信者ユーザーはグループユーザー情報に移行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endParaRPr lang="en-US" altLang="ja-JP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65</xdr:col>
      <xdr:colOff>180563</xdr:colOff>
      <xdr:row>116</xdr:row>
      <xdr:rowOff>165848</xdr:rowOff>
    </xdr:from>
    <xdr:to>
      <xdr:col>70</xdr:col>
      <xdr:colOff>379012</xdr:colOff>
      <xdr:row>120</xdr:row>
      <xdr:rowOff>36494</xdr:rowOff>
    </xdr:to>
    <xdr:sp macro="" textlink="">
      <xdr:nvSpPr>
        <xdr:cNvPr id="142" name="正方形/長方形 141"/>
        <xdr:cNvSpPr/>
      </xdr:nvSpPr>
      <xdr:spPr>
        <a:xfrm>
          <a:off x="44611887" y="19843377"/>
          <a:ext cx="3616243" cy="542999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キャンペーン情報</a:t>
          </a:r>
          <a:endParaRPr kumimoji="1" lang="en-US" altLang="ja-JP" sz="1100"/>
        </a:p>
        <a:p>
          <a:pPr algn="ctr"/>
          <a:r>
            <a:rPr kumimoji="1" lang="en-US" altLang="ja-JP" sz="1100"/>
            <a:t>(</a:t>
          </a:r>
          <a:r>
            <a:rPr lang="en-US" altLang="ja-JP"/>
            <a:t>campaigns</a:t>
          </a:r>
          <a:r>
            <a:rPr kumimoji="1" lang="en-US" altLang="ja-JP" sz="1100"/>
            <a:t>)</a:t>
          </a:r>
        </a:p>
      </xdr:txBody>
    </xdr:sp>
    <xdr:clientData/>
  </xdr:twoCellAnchor>
  <xdr:twoCellAnchor>
    <xdr:from>
      <xdr:col>65</xdr:col>
      <xdr:colOff>180563</xdr:colOff>
      <xdr:row>120</xdr:row>
      <xdr:rowOff>28430</xdr:rowOff>
    </xdr:from>
    <xdr:to>
      <xdr:col>70</xdr:col>
      <xdr:colOff>379012</xdr:colOff>
      <xdr:row>127</xdr:row>
      <xdr:rowOff>114300</xdr:rowOff>
    </xdr:to>
    <xdr:sp macro="" textlink="">
      <xdr:nvSpPr>
        <xdr:cNvPr id="145" name="正方形/長方形 144"/>
        <xdr:cNvSpPr/>
      </xdr:nvSpPr>
      <xdr:spPr>
        <a:xfrm>
          <a:off x="44757563" y="20773880"/>
          <a:ext cx="3627449" cy="128602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・キャンペーン名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・スマホ用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・表示ステータス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ログイン前のみ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会員のみ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,3: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76</xdr:col>
      <xdr:colOff>335072</xdr:colOff>
      <xdr:row>31</xdr:row>
      <xdr:rowOff>103157</xdr:rowOff>
    </xdr:from>
    <xdr:to>
      <xdr:col>80</xdr:col>
      <xdr:colOff>253588</xdr:colOff>
      <xdr:row>42</xdr:row>
      <xdr:rowOff>4949</xdr:rowOff>
    </xdr:to>
    <xdr:sp macro="" textlink="">
      <xdr:nvSpPr>
        <xdr:cNvPr id="147" name="正方形/長方形 146"/>
        <xdr:cNvSpPr/>
      </xdr:nvSpPr>
      <xdr:spPr>
        <a:xfrm>
          <a:off x="52982345" y="5471793"/>
          <a:ext cx="2689425" cy="197997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2017 2/3</a:t>
          </a:r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DB</a:t>
          </a:r>
          <a:r>
            <a:rPr kumimoji="1" lang="ja-JP" altLang="en-US" sz="1100"/>
            <a:t>をログ専用</a:t>
          </a:r>
          <a:r>
            <a:rPr kumimoji="1" lang="en-US" altLang="ja-JP" sz="1100"/>
            <a:t>(collabos_v2_log)</a:t>
          </a:r>
          <a:r>
            <a:rPr kumimoji="1" lang="ja-JP" altLang="en-US" sz="1100"/>
            <a:t>に移動</a:t>
          </a:r>
          <a:endParaRPr kumimoji="1" lang="en-US" altLang="ja-JP" sz="1100"/>
        </a:p>
        <a:p>
          <a:pPr algn="l"/>
          <a:r>
            <a:rPr kumimoji="1" lang="ja-JP" altLang="en-US" sz="1100"/>
            <a:t>ログ専用リファレンスを参照</a:t>
          </a:r>
          <a:endParaRPr kumimoji="1" lang="en-US" altLang="ja-JP" sz="1100"/>
        </a:p>
      </xdr:txBody>
    </xdr:sp>
    <xdr:clientData/>
  </xdr:twoCellAnchor>
  <xdr:twoCellAnchor>
    <xdr:from>
      <xdr:col>28</xdr:col>
      <xdr:colOff>534593</xdr:colOff>
      <xdr:row>180</xdr:row>
      <xdr:rowOff>84118</xdr:rowOff>
    </xdr:from>
    <xdr:to>
      <xdr:col>33</xdr:col>
      <xdr:colOff>185173</xdr:colOff>
      <xdr:row>183</xdr:row>
      <xdr:rowOff>138731</xdr:rowOff>
    </xdr:to>
    <xdr:sp macro="" textlink="">
      <xdr:nvSpPr>
        <xdr:cNvPr id="165" name="正方形/長方形 164"/>
        <xdr:cNvSpPr/>
      </xdr:nvSpPr>
      <xdr:spPr>
        <a:xfrm>
          <a:off x="19674240" y="30519294"/>
          <a:ext cx="3068374" cy="5588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コラボ参加表明</a:t>
          </a:r>
          <a:r>
            <a:rPr kumimoji="1" lang="ja-JP" altLang="en-US" sz="1100"/>
            <a:t>ログ</a:t>
          </a:r>
          <a:endParaRPr kumimoji="1" lang="en-US" altLang="ja-JP" sz="1100"/>
        </a:p>
        <a:p>
          <a:pPr algn="ctr"/>
          <a:r>
            <a:rPr kumimoji="1" lang="en-US" altLang="ja-JP" sz="1100"/>
            <a:t>(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Collabopartylog</a:t>
          </a:r>
          <a:r>
            <a:rPr kumimoji="1" lang="en-US" altLang="ja-JP" sz="1100"/>
            <a:t>)</a:t>
          </a:r>
        </a:p>
      </xdr:txBody>
    </xdr:sp>
    <xdr:clientData/>
  </xdr:twoCellAnchor>
  <xdr:twoCellAnchor>
    <xdr:from>
      <xdr:col>28</xdr:col>
      <xdr:colOff>534593</xdr:colOff>
      <xdr:row>183</xdr:row>
      <xdr:rowOff>137518</xdr:rowOff>
    </xdr:from>
    <xdr:to>
      <xdr:col>33</xdr:col>
      <xdr:colOff>185173</xdr:colOff>
      <xdr:row>199</xdr:row>
      <xdr:rowOff>151280</xdr:rowOff>
    </xdr:to>
    <xdr:sp macro="" textlink="">
      <xdr:nvSpPr>
        <xdr:cNvPr id="166" name="正方形/長方形 165"/>
        <xdr:cNvSpPr/>
      </xdr:nvSpPr>
      <xdr:spPr>
        <a:xfrm>
          <a:off x="19674240" y="31076959"/>
          <a:ext cx="3068374" cy="27031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・コラボ参加表明情報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・変更日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・変更ユーザー権限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コラボ管理者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オーナー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コラボ参加者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コラボス運営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・変更ユーザー</a:t>
          </a:r>
          <a:r>
            <a:rPr lang="en-US" altLang="ja-JP">
              <a:effectLst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・変更内容</a:t>
          </a:r>
          <a:r>
            <a:rPr lang="en-US" altLang="ja-JP">
              <a:effectLst/>
            </a:rPr>
            <a:t>(JSON)</a:t>
          </a: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オーナー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参加者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>
            <a:effectLst/>
          </a:endParaRPr>
        </a:p>
      </xdr:txBody>
    </xdr:sp>
    <xdr:clientData/>
  </xdr:twoCellAnchor>
  <xdr:twoCellAnchor>
    <xdr:from>
      <xdr:col>31</xdr:col>
      <xdr:colOff>18103</xdr:colOff>
      <xdr:row>180</xdr:row>
      <xdr:rowOff>84119</xdr:rowOff>
    </xdr:from>
    <xdr:to>
      <xdr:col>36</xdr:col>
      <xdr:colOff>429986</xdr:colOff>
      <xdr:row>187</xdr:row>
      <xdr:rowOff>1</xdr:rowOff>
    </xdr:to>
    <xdr:cxnSp macro="">
      <xdr:nvCxnSpPr>
        <xdr:cNvPr id="1329" name="カギ線コネクタ 1328"/>
        <xdr:cNvCxnSpPr>
          <a:stCxn id="1326" idx="2"/>
          <a:endCxn id="165" idx="0"/>
        </xdr:cNvCxnSpPr>
      </xdr:nvCxnSpPr>
      <xdr:spPr>
        <a:xfrm rot="5400000" flipH="1">
          <a:off x="22577016" y="29150706"/>
          <a:ext cx="1092500" cy="3829677"/>
        </a:xfrm>
        <a:prstGeom prst="bentConnector5">
          <a:avLst>
            <a:gd name="adj1" fmla="val -20924"/>
            <a:gd name="adj2" fmla="val 49133"/>
            <a:gd name="adj3" fmla="val 120924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505361</xdr:colOff>
      <xdr:row>6</xdr:row>
      <xdr:rowOff>151046</xdr:rowOff>
    </xdr:from>
    <xdr:to>
      <xdr:col>21</xdr:col>
      <xdr:colOff>520447</xdr:colOff>
      <xdr:row>9</xdr:row>
      <xdr:rowOff>173511</xdr:rowOff>
    </xdr:to>
    <xdr:sp macro="" textlink="">
      <xdr:nvSpPr>
        <xdr:cNvPr id="172" name="正方形/長方形 171"/>
        <xdr:cNvSpPr/>
      </xdr:nvSpPr>
      <xdr:spPr>
        <a:xfrm>
          <a:off x="12192122" y="1194655"/>
          <a:ext cx="2764912" cy="54426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退会ユーザー情報</a:t>
          </a:r>
          <a:endParaRPr kumimoji="1" lang="en-US" altLang="ja-JP" sz="1100"/>
        </a:p>
        <a:p>
          <a:pPr algn="ctr"/>
          <a:r>
            <a:rPr kumimoji="1" lang="en-US" altLang="ja-JP" sz="1100"/>
            <a:t>(Leaveuser)</a:t>
          </a:r>
          <a:endParaRPr kumimoji="1" lang="ja-JP" altLang="en-US" sz="1100"/>
        </a:p>
      </xdr:txBody>
    </xdr:sp>
    <xdr:clientData/>
  </xdr:twoCellAnchor>
  <xdr:twoCellAnchor>
    <xdr:from>
      <xdr:col>17</xdr:col>
      <xdr:colOff>505361</xdr:colOff>
      <xdr:row>10</xdr:row>
      <xdr:rowOff>233</xdr:rowOff>
    </xdr:from>
    <xdr:to>
      <xdr:col>21</xdr:col>
      <xdr:colOff>519933</xdr:colOff>
      <xdr:row>17</xdr:row>
      <xdr:rowOff>124239</xdr:rowOff>
    </xdr:to>
    <xdr:sp macro="" textlink="">
      <xdr:nvSpPr>
        <xdr:cNvPr id="173" name="正方形/長方形 172"/>
        <xdr:cNvSpPr/>
      </xdr:nvSpPr>
      <xdr:spPr>
        <a:xfrm>
          <a:off x="12192122" y="1739581"/>
          <a:ext cx="2764398" cy="13415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・会員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・ユーザーネーム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・パスワード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・ニックネーム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・退会日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・退会理由</a:t>
          </a:r>
          <a:r>
            <a:rPr lang="en-US" altLang="ja-JP">
              <a:solidFill>
                <a:sysClr val="windowText" lastClr="000000"/>
              </a:solidFill>
              <a:effectLst/>
            </a:rPr>
            <a:t>(JSON)</a:t>
          </a:r>
        </a:p>
      </xdr:txBody>
    </xdr:sp>
    <xdr:clientData/>
  </xdr:twoCellAnchor>
  <xdr:twoCellAnchor>
    <xdr:from>
      <xdr:col>20</xdr:col>
      <xdr:colOff>664384</xdr:colOff>
      <xdr:row>2</xdr:row>
      <xdr:rowOff>34314</xdr:rowOff>
    </xdr:from>
    <xdr:to>
      <xdr:col>25</xdr:col>
      <xdr:colOff>373238</xdr:colOff>
      <xdr:row>9</xdr:row>
      <xdr:rowOff>29930</xdr:rowOff>
    </xdr:to>
    <xdr:sp macro="" textlink="">
      <xdr:nvSpPr>
        <xdr:cNvPr id="171" name="正方形/長方形 170"/>
        <xdr:cNvSpPr/>
      </xdr:nvSpPr>
      <xdr:spPr>
        <a:xfrm>
          <a:off x="14413514" y="382184"/>
          <a:ext cx="3146137" cy="121315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2017 2/3</a:t>
          </a:r>
        </a:p>
        <a:p>
          <a:pPr algn="l"/>
          <a:endParaRPr kumimoji="1" lang="en-US" altLang="ja-JP" sz="1100"/>
        </a:p>
        <a:p>
          <a:pPr algn="l"/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ログ専用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DB(collabos_v2_log)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に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退会ユーザー情報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(Leaveuser)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を新たに設置</a:t>
          </a:r>
          <a:endParaRPr kumimoji="1" lang="en-US" altLang="ja-JP" sz="1100"/>
        </a:p>
        <a:p>
          <a:pPr algn="l"/>
          <a:r>
            <a:rPr kumimoji="1" lang="ja-JP" altLang="en-US" sz="1100"/>
            <a:t>ログ専用リファレンスを参照</a:t>
          </a:r>
          <a:endParaRPr kumimoji="1" lang="en-US" altLang="ja-JP" sz="1100"/>
        </a:p>
      </xdr:txBody>
    </xdr:sp>
    <xdr:clientData/>
  </xdr:twoCellAnchor>
  <xdr:twoCellAnchor>
    <xdr:from>
      <xdr:col>1</xdr:col>
      <xdr:colOff>79241</xdr:colOff>
      <xdr:row>6</xdr:row>
      <xdr:rowOff>80353</xdr:rowOff>
    </xdr:from>
    <xdr:to>
      <xdr:col>1</xdr:col>
      <xdr:colOff>434068</xdr:colOff>
      <xdr:row>8</xdr:row>
      <xdr:rowOff>27214</xdr:rowOff>
    </xdr:to>
    <xdr:sp macro="" textlink="">
      <xdr:nvSpPr>
        <xdr:cNvPr id="175" name="正方形/長方形 174"/>
        <xdr:cNvSpPr/>
      </xdr:nvSpPr>
      <xdr:spPr>
        <a:xfrm>
          <a:off x="765041" y="1109053"/>
          <a:ext cx="354827" cy="28976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495300</xdr:colOff>
      <xdr:row>6</xdr:row>
      <xdr:rowOff>104775</xdr:rowOff>
    </xdr:from>
    <xdr:to>
      <xdr:col>4</xdr:col>
      <xdr:colOff>666750</xdr:colOff>
      <xdr:row>8</xdr:row>
      <xdr:rowOff>47625</xdr:rowOff>
    </xdr:to>
    <xdr:sp macro="" textlink="">
      <xdr:nvSpPr>
        <xdr:cNvPr id="21" name="テキスト ボックス 20"/>
        <xdr:cNvSpPr txBox="1"/>
      </xdr:nvSpPr>
      <xdr:spPr>
        <a:xfrm>
          <a:off x="1181100" y="1133475"/>
          <a:ext cx="2228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デフォルト</a:t>
          </a:r>
          <a:r>
            <a:rPr kumimoji="1" lang="en-US" altLang="ja-JP" sz="1100"/>
            <a:t>DB</a:t>
          </a:r>
          <a:r>
            <a:rPr kumimoji="1" lang="ja-JP" altLang="en-US" sz="1100"/>
            <a:t>のテーブル情報</a:t>
          </a:r>
        </a:p>
      </xdr:txBody>
    </xdr:sp>
    <xdr:clientData/>
  </xdr:twoCellAnchor>
  <xdr:twoCellAnchor>
    <xdr:from>
      <xdr:col>1</xdr:col>
      <xdr:colOff>69716</xdr:colOff>
      <xdr:row>10</xdr:row>
      <xdr:rowOff>4153</xdr:rowOff>
    </xdr:from>
    <xdr:to>
      <xdr:col>1</xdr:col>
      <xdr:colOff>424543</xdr:colOff>
      <xdr:row>11</xdr:row>
      <xdr:rowOff>122464</xdr:rowOff>
    </xdr:to>
    <xdr:sp macro="" textlink="">
      <xdr:nvSpPr>
        <xdr:cNvPr id="177" name="正方形/長方形 176"/>
        <xdr:cNvSpPr/>
      </xdr:nvSpPr>
      <xdr:spPr>
        <a:xfrm>
          <a:off x="755516" y="1718653"/>
          <a:ext cx="354827" cy="28976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561975</xdr:colOff>
      <xdr:row>10</xdr:row>
      <xdr:rowOff>0</xdr:rowOff>
    </xdr:from>
    <xdr:to>
      <xdr:col>5</xdr:col>
      <xdr:colOff>47625</xdr:colOff>
      <xdr:row>11</xdr:row>
      <xdr:rowOff>114300</xdr:rowOff>
    </xdr:to>
    <xdr:sp macro="" textlink="">
      <xdr:nvSpPr>
        <xdr:cNvPr id="178" name="テキスト ボックス 177"/>
        <xdr:cNvSpPr txBox="1"/>
      </xdr:nvSpPr>
      <xdr:spPr>
        <a:xfrm>
          <a:off x="1247775" y="1714500"/>
          <a:ext cx="2228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ログ専用</a:t>
          </a:r>
          <a:r>
            <a:rPr kumimoji="1" lang="en-US" altLang="ja-JP" sz="1100"/>
            <a:t>DB</a:t>
          </a:r>
          <a:r>
            <a:rPr kumimoji="1" lang="ja-JP" altLang="en-US" sz="1100"/>
            <a:t>テーブル情報</a:t>
          </a:r>
        </a:p>
      </xdr:txBody>
    </xdr:sp>
    <xdr:clientData/>
  </xdr:twoCellAnchor>
  <xdr:twoCellAnchor>
    <xdr:from>
      <xdr:col>1</xdr:col>
      <xdr:colOff>11206</xdr:colOff>
      <xdr:row>0</xdr:row>
      <xdr:rowOff>156882</xdr:rowOff>
    </xdr:from>
    <xdr:to>
      <xdr:col>8</xdr:col>
      <xdr:colOff>224117</xdr:colOff>
      <xdr:row>5</xdr:row>
      <xdr:rowOff>78441</xdr:rowOff>
    </xdr:to>
    <xdr:sp macro="" textlink="">
      <xdr:nvSpPr>
        <xdr:cNvPr id="23" name="正方形/長方形 22"/>
        <xdr:cNvSpPr/>
      </xdr:nvSpPr>
      <xdr:spPr>
        <a:xfrm>
          <a:off x="694765" y="156882"/>
          <a:ext cx="4997823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</a:t>
          </a:r>
          <a:r>
            <a:rPr kumimoji="1" lang="ja-JP" altLang="en-US" sz="1100"/>
            <a:t>月半ばまでは、現行のままで</a:t>
          </a:r>
          <a:endParaRPr kumimoji="1" lang="en-US" altLang="ja-JP" sz="1100"/>
        </a:p>
        <a:p>
          <a:pPr algn="l"/>
          <a:r>
            <a:rPr kumimoji="1" lang="ja-JP" altLang="en-US" sz="1100"/>
            <a:t>本番更新後に、こっちの構成に切り替える。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</xdr:col>
      <xdr:colOff>60751</xdr:colOff>
      <xdr:row>13</xdr:row>
      <xdr:rowOff>127418</xdr:rowOff>
    </xdr:from>
    <xdr:to>
      <xdr:col>1</xdr:col>
      <xdr:colOff>415578</xdr:colOff>
      <xdr:row>15</xdr:row>
      <xdr:rowOff>77641</xdr:rowOff>
    </xdr:to>
    <xdr:sp macro="" textlink="">
      <xdr:nvSpPr>
        <xdr:cNvPr id="143" name="正方形/長方形 142"/>
        <xdr:cNvSpPr/>
      </xdr:nvSpPr>
      <xdr:spPr>
        <a:xfrm>
          <a:off x="744310" y="2312565"/>
          <a:ext cx="354827" cy="2864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553010</xdr:colOff>
      <xdr:row>13</xdr:row>
      <xdr:rowOff>123265</xdr:rowOff>
    </xdr:from>
    <xdr:to>
      <xdr:col>5</xdr:col>
      <xdr:colOff>38660</xdr:colOff>
      <xdr:row>15</xdr:row>
      <xdr:rowOff>69477</xdr:rowOff>
    </xdr:to>
    <xdr:sp macro="" textlink="">
      <xdr:nvSpPr>
        <xdr:cNvPr id="148" name="テキスト ボックス 147"/>
        <xdr:cNvSpPr txBox="1"/>
      </xdr:nvSpPr>
      <xdr:spPr>
        <a:xfrm>
          <a:off x="1236569" y="2308412"/>
          <a:ext cx="2219885" cy="282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マスター専用</a:t>
          </a:r>
          <a:r>
            <a:rPr kumimoji="1" lang="en-US" altLang="ja-JP" sz="1100"/>
            <a:t>DB</a:t>
          </a:r>
          <a:r>
            <a:rPr kumimoji="1" lang="ja-JP" altLang="en-US" sz="1100"/>
            <a:t>テーブル情報</a:t>
          </a:r>
        </a:p>
      </xdr:txBody>
    </xdr:sp>
    <xdr:clientData/>
  </xdr:twoCellAnchor>
  <xdr:twoCellAnchor>
    <xdr:from>
      <xdr:col>0</xdr:col>
      <xdr:colOff>394956</xdr:colOff>
      <xdr:row>34</xdr:row>
      <xdr:rowOff>124448</xdr:rowOff>
    </xdr:from>
    <xdr:to>
      <xdr:col>5</xdr:col>
      <xdr:colOff>103811</xdr:colOff>
      <xdr:row>45</xdr:row>
      <xdr:rowOff>67235</xdr:rowOff>
    </xdr:to>
    <xdr:sp macro="" textlink="">
      <xdr:nvSpPr>
        <xdr:cNvPr id="149" name="正方形/長方形 148"/>
        <xdr:cNvSpPr/>
      </xdr:nvSpPr>
      <xdr:spPr>
        <a:xfrm>
          <a:off x="394956" y="5839448"/>
          <a:ext cx="3126649" cy="197105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2017 2/7</a:t>
          </a:r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DB</a:t>
          </a:r>
          <a:r>
            <a:rPr kumimoji="1" lang="ja-JP" altLang="en-US" sz="1100"/>
            <a:t>を大きく</a:t>
          </a:r>
          <a:r>
            <a:rPr kumimoji="1" lang="en-US" altLang="ja-JP" sz="1100"/>
            <a:t>3</a:t>
          </a:r>
          <a:r>
            <a:rPr kumimoji="1" lang="ja-JP" altLang="en-US" sz="1100"/>
            <a:t>つに分割させる予定</a:t>
          </a:r>
          <a:endParaRPr kumimoji="1" lang="en-US" altLang="ja-JP" sz="1100"/>
        </a:p>
        <a:p>
          <a:pPr algn="l"/>
          <a:r>
            <a:rPr kumimoji="1" lang="ja-JP" altLang="en-US" sz="1100"/>
            <a:t>・デフォルト</a:t>
          </a:r>
          <a:r>
            <a:rPr kumimoji="1" lang="en-US" altLang="ja-JP" sz="1100"/>
            <a:t>DB(</a:t>
          </a:r>
          <a:r>
            <a:rPr kumimoji="1" lang="ja-JP" altLang="en-US" sz="1100"/>
            <a:t>現状の</a:t>
          </a:r>
          <a:r>
            <a:rPr kumimoji="1" lang="en-US" altLang="ja-JP" sz="1100"/>
            <a:t>collabo_ver2)</a:t>
          </a:r>
        </a:p>
        <a:p>
          <a:pPr algn="l"/>
          <a:r>
            <a:rPr kumimoji="1" lang="ja-JP" altLang="en-US" sz="1100"/>
            <a:t>・ログ専用</a:t>
          </a:r>
          <a:r>
            <a:rPr kumimoji="1" lang="en-US" altLang="ja-JP" sz="1100"/>
            <a:t>DB(collabos_ver2_log)</a:t>
          </a:r>
        </a:p>
        <a:p>
          <a:pPr algn="l"/>
          <a:r>
            <a:rPr kumimoji="1" lang="ja-JP" altLang="en-US" sz="1100"/>
            <a:t>・マスター専用</a:t>
          </a:r>
          <a:r>
            <a:rPr kumimoji="1" lang="en-US" altLang="ja-JP" sz="1100"/>
            <a:t>DB(collabo_ver2_master)</a:t>
          </a:r>
        </a:p>
      </xdr:txBody>
    </xdr:sp>
    <xdr:clientData/>
  </xdr:twoCellAnchor>
  <xdr:twoCellAnchor>
    <xdr:from>
      <xdr:col>71</xdr:col>
      <xdr:colOff>402061</xdr:colOff>
      <xdr:row>120</xdr:row>
      <xdr:rowOff>123825</xdr:rowOff>
    </xdr:from>
    <xdr:to>
      <xdr:col>76</xdr:col>
      <xdr:colOff>591342</xdr:colOff>
      <xdr:row>124</xdr:row>
      <xdr:rowOff>89262</xdr:rowOff>
    </xdr:to>
    <xdr:sp macro="" textlink="">
      <xdr:nvSpPr>
        <xdr:cNvPr id="150" name="正方形/長方形 149"/>
        <xdr:cNvSpPr/>
      </xdr:nvSpPr>
      <xdr:spPr>
        <a:xfrm>
          <a:off x="49093861" y="20869275"/>
          <a:ext cx="3618281" cy="651237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入力エラー表示設定</a:t>
          </a:r>
          <a:endParaRPr kumimoji="1" lang="en-US" altLang="ja-JP" sz="1100"/>
        </a:p>
        <a:p>
          <a:pPr algn="ctr"/>
          <a:r>
            <a:rPr kumimoji="1" lang="en-US" altLang="ja-JP" sz="1100"/>
            <a:t>(Inputerror)</a:t>
          </a:r>
        </a:p>
      </xdr:txBody>
    </xdr:sp>
    <xdr:clientData/>
  </xdr:twoCellAnchor>
  <xdr:twoCellAnchor>
    <xdr:from>
      <xdr:col>71</xdr:col>
      <xdr:colOff>402061</xdr:colOff>
      <xdr:row>124</xdr:row>
      <xdr:rowOff>81199</xdr:rowOff>
    </xdr:from>
    <xdr:to>
      <xdr:col>76</xdr:col>
      <xdr:colOff>591342</xdr:colOff>
      <xdr:row>129</xdr:row>
      <xdr:rowOff>85725</xdr:rowOff>
    </xdr:to>
    <xdr:sp macro="" textlink="">
      <xdr:nvSpPr>
        <xdr:cNvPr id="151" name="正方形/長方形 150"/>
        <xdr:cNvSpPr/>
      </xdr:nvSpPr>
      <xdr:spPr>
        <a:xfrm>
          <a:off x="49093861" y="21512449"/>
          <a:ext cx="3618281" cy="86177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・適用コード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・表示場所名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・エラーメッセージ文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4</xdr:row>
          <xdr:rowOff>95250</xdr:rowOff>
        </xdr:from>
        <xdr:to>
          <xdr:col>19</xdr:col>
          <xdr:colOff>342900</xdr:colOff>
          <xdr:row>4</xdr:row>
          <xdr:rowOff>342900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11</xdr:row>
          <xdr:rowOff>47625</xdr:rowOff>
        </xdr:from>
        <xdr:to>
          <xdr:col>19</xdr:col>
          <xdr:colOff>400050</xdr:colOff>
          <xdr:row>13</xdr:row>
          <xdr:rowOff>9525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</xdr:row>
          <xdr:rowOff>95250</xdr:rowOff>
        </xdr:from>
        <xdr:to>
          <xdr:col>19</xdr:col>
          <xdr:colOff>342900</xdr:colOff>
          <xdr:row>5</xdr:row>
          <xdr:rowOff>352425</xdr:rowOff>
        </xdr:to>
        <xdr:sp macro="" textlink="">
          <xdr:nvSpPr>
            <xdr:cNvPr id="3076" name="TextBox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142875</xdr:rowOff>
    </xdr:from>
    <xdr:to>
      <xdr:col>20</xdr:col>
      <xdr:colOff>107674</xdr:colOff>
      <xdr:row>3</xdr:row>
      <xdr:rowOff>57150</xdr:rowOff>
    </xdr:to>
    <xdr:sp macro="" textlink="">
      <xdr:nvSpPr>
        <xdr:cNvPr id="2" name="テキスト ボックス 1"/>
        <xdr:cNvSpPr txBox="1"/>
      </xdr:nvSpPr>
      <xdr:spPr>
        <a:xfrm>
          <a:off x="371475" y="142875"/>
          <a:ext cx="8350112" cy="4360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テーブル一覧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</xdr:colOff>
          <xdr:row>4</xdr:row>
          <xdr:rowOff>19050</xdr:rowOff>
        </xdr:from>
        <xdr:to>
          <xdr:col>20</xdr:col>
          <xdr:colOff>104775</xdr:colOff>
          <xdr:row>6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9</xdr:row>
      <xdr:rowOff>115956</xdr:rowOff>
    </xdr:from>
    <xdr:to>
      <xdr:col>25</xdr:col>
      <xdr:colOff>356152</xdr:colOff>
      <xdr:row>52</xdr:row>
      <xdr:rowOff>91109</xdr:rowOff>
    </xdr:to>
    <xdr:sp macro="" textlink="">
      <xdr:nvSpPr>
        <xdr:cNvPr id="2" name="正方形/長方形 1"/>
        <xdr:cNvSpPr/>
      </xdr:nvSpPr>
      <xdr:spPr>
        <a:xfrm>
          <a:off x="969065" y="1954695"/>
          <a:ext cx="8928652" cy="816665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chemeClr val="bg1"/>
              </a:solidFill>
              <a:effectLst/>
            </a:rPr>
            <a:t>主なオプション一覧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endParaRPr lang="en-US" altLang="ja-JP">
            <a:solidFill>
              <a:schemeClr val="bg1"/>
            </a:solidFill>
            <a:effectLst/>
          </a:endParaRPr>
        </a:p>
        <a:p>
          <a:r>
            <a:rPr lang="ja-JP" altLang="en-US">
              <a:solidFill>
                <a:schemeClr val="bg1"/>
              </a:solidFill>
              <a:effectLst/>
            </a:rPr>
            <a:t>・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・ニックネーム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・アイコン画像タグ番号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・性別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男性、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女性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・郵便番号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・都道府県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・市区町村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・丁目番地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・その他住所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・電話番号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・職種情報公開ステータス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・生年月日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・年齢公開ステータス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・所在地公開ステータス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</a:t>
          </a:r>
          <a:r>
            <a:rPr kumimoji="1"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スペース公開ステータス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・紹介説明文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ショート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・メッセージ新着通知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・ライブラリ受注通知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・コラボ参加表明通知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・仲間承認通知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・グループ承認通知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・テーマカラー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・レイアウトステータス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ユーザー個人用、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テーマをコンテンツ画面にも反映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・仲間申請レベル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・グループ参加レベル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・法人ステータス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(0:off,1:on)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・法人会社名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・法人事業内容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・法人連絡先電話番号</a:t>
          </a:r>
          <a:endParaRPr lang="ja-JP" altLang="ja-JP">
            <a:solidFill>
              <a:schemeClr val="bg1"/>
            </a:solidFill>
            <a:effectLst/>
          </a:endParaRPr>
        </a:p>
        <a:p>
          <a:pPr algn="l"/>
          <a:endParaRPr lang="ja-JP" altLang="ja-JP">
            <a:solidFill>
              <a:schemeClr val="bg1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view="pageBreakPreview" topLeftCell="A7" zoomScaleNormal="100" zoomScaleSheetLayoutView="100" workbookViewId="0">
      <selection activeCell="B47" sqref="B47"/>
    </sheetView>
  </sheetViews>
  <sheetFormatPr defaultRowHeight="13.5" x14ac:dyDescent="0.1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S6"/>
  <sheetViews>
    <sheetView showGridLines="0" view="pageBreakPreview" zoomScale="130" zoomScaleNormal="100" zoomScaleSheetLayoutView="130" workbookViewId="0">
      <selection activeCell="E5" sqref="E5:S5"/>
    </sheetView>
  </sheetViews>
  <sheetFormatPr defaultColWidth="5.625" defaultRowHeight="15" customHeight="1" x14ac:dyDescent="0.15"/>
  <cols>
    <col min="1" max="16384" width="5.625" style="1"/>
  </cols>
  <sheetData>
    <row r="2" spans="2:19" ht="24.95" customHeight="1" x14ac:dyDescent="0.15">
      <c r="B2" s="42" t="s">
        <v>28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</row>
    <row r="4" spans="2:19" ht="15" customHeight="1" x14ac:dyDescent="0.15">
      <c r="B4" s="39" t="s">
        <v>30</v>
      </c>
      <c r="C4" s="40"/>
      <c r="D4" s="41"/>
      <c r="E4" s="36" t="s">
        <v>389</v>
      </c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8"/>
    </row>
    <row r="5" spans="2:19" ht="15" customHeight="1" x14ac:dyDescent="0.15">
      <c r="B5" s="39" t="s">
        <v>29</v>
      </c>
      <c r="C5" s="40"/>
      <c r="D5" s="41"/>
      <c r="E5" s="36" t="s">
        <v>56</v>
      </c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8"/>
    </row>
    <row r="6" spans="2:19" ht="15" customHeight="1" x14ac:dyDescent="0.15">
      <c r="B6" s="39" t="s">
        <v>31</v>
      </c>
      <c r="C6" s="40"/>
      <c r="D6" s="41"/>
      <c r="E6" s="36" t="s">
        <v>48</v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8"/>
    </row>
  </sheetData>
  <mergeCells count="7">
    <mergeCell ref="E6:S6"/>
    <mergeCell ref="B4:D4"/>
    <mergeCell ref="B5:D5"/>
    <mergeCell ref="B6:D6"/>
    <mergeCell ref="B2:S2"/>
    <mergeCell ref="E4:S4"/>
    <mergeCell ref="E5:S5"/>
  </mergeCells>
  <phoneticPr fontId="1"/>
  <pageMargins left="0.7" right="0.7" top="0.75" bottom="0.75" header="0.3" footer="0.3"/>
  <pageSetup paperSize="9" scale="7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A157"/>
  <sheetViews>
    <sheetView showGridLines="0" tabSelected="1" view="pageBreakPreview" topLeftCell="A16" zoomScale="85" zoomScaleNormal="40" zoomScaleSheetLayoutView="85" workbookViewId="0">
      <selection activeCell="F39" sqref="F39"/>
    </sheetView>
  </sheetViews>
  <sheetFormatPr defaultRowHeight="13.5" x14ac:dyDescent="0.15"/>
  <sheetData>
    <row r="1" spans="1:1" x14ac:dyDescent="0.15">
      <c r="A1" s="5" t="str">
        <f>CONCATENATE(基本設定!E4,"のE-R図")</f>
        <v>コラボス(2017年1月改定)デフォルトのE-R図</v>
      </c>
    </row>
    <row r="22" spans="52:52" x14ac:dyDescent="0.15">
      <c r="AZ22" s="8"/>
    </row>
    <row r="35" spans="53:53" ht="27" x14ac:dyDescent="0.15">
      <c r="BA35" s="8" t="s">
        <v>51</v>
      </c>
    </row>
    <row r="157" spans="3:3" x14ac:dyDescent="0.15">
      <c r="C157" t="s">
        <v>52</v>
      </c>
    </row>
  </sheetData>
  <phoneticPr fontId="1"/>
  <pageMargins left="0.23622047244094491" right="0.23622047244094491" top="0.74803149606299213" bottom="0.74803149606299213" header="0.31496062992125984" footer="0.31496062992125984"/>
  <pageSetup paperSize="8" scale="38" fitToWidth="0" orientation="portrait" r:id="rId1"/>
  <colBreaks count="1" manualBreakCount="1">
    <brk id="42" max="225" man="1"/>
  </colBreaks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12</xdr:col>
                <xdr:colOff>152400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T6"/>
  <sheetViews>
    <sheetView showGridLines="0" view="pageBreakPreview" zoomScale="115" zoomScaleNormal="100" zoomScaleSheetLayoutView="115" workbookViewId="0">
      <selection activeCell="N14" sqref="N14"/>
    </sheetView>
  </sheetViews>
  <sheetFormatPr defaultColWidth="5.625" defaultRowHeight="15" customHeight="1" x14ac:dyDescent="0.15"/>
  <sheetData>
    <row r="3" spans="2:20" ht="24.95" customHeight="1" x14ac:dyDescent="0.15">
      <c r="B3" s="47" t="s">
        <v>33</v>
      </c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</row>
    <row r="5" spans="2:20" ht="35.1" customHeight="1" x14ac:dyDescent="0.15">
      <c r="B5" s="43" t="s">
        <v>34</v>
      </c>
      <c r="C5" s="44"/>
      <c r="D5" s="44"/>
      <c r="E5" s="44"/>
      <c r="F5" s="44"/>
      <c r="G5" s="45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</row>
    <row r="6" spans="2:20" ht="35.1" customHeight="1" x14ac:dyDescent="0.15">
      <c r="B6" s="43" t="s">
        <v>47</v>
      </c>
      <c r="C6" s="44"/>
      <c r="D6" s="44"/>
      <c r="E6" s="44"/>
      <c r="F6" s="44"/>
      <c r="G6" s="45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</row>
  </sheetData>
  <mergeCells count="5">
    <mergeCell ref="B5:G5"/>
    <mergeCell ref="H5:T5"/>
    <mergeCell ref="B6:G6"/>
    <mergeCell ref="H6:T6"/>
    <mergeCell ref="B3:T3"/>
  </mergeCells>
  <phoneticPr fontId="1"/>
  <pageMargins left="0.7" right="0.7" top="0.75" bottom="0.75" header="0.3" footer="0.3"/>
  <pageSetup paperSize="9" scale="74"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TextBox2">
          <controlPr defaultSize="0" autoLine="0" r:id="rId5">
            <anchor moveWithCells="1">
              <from>
                <xdr:col>7</xdr:col>
                <xdr:colOff>104775</xdr:colOff>
                <xdr:row>5</xdr:row>
                <xdr:rowOff>95250</xdr:rowOff>
              </from>
              <to>
                <xdr:col>19</xdr:col>
                <xdr:colOff>342900</xdr:colOff>
                <xdr:row>5</xdr:row>
                <xdr:rowOff>352425</xdr:rowOff>
              </to>
            </anchor>
          </controlPr>
        </control>
      </mc:Choice>
      <mc:Fallback>
        <control shapeId="3076" r:id="rId4" name="TextBox2"/>
      </mc:Fallback>
    </mc:AlternateContent>
    <mc:AlternateContent xmlns:mc="http://schemas.openxmlformats.org/markup-compatibility/2006">
      <mc:Choice Requires="x14">
        <control shapeId="3075" r:id="rId6" name="CommandButton1">
          <controlPr defaultSize="0" autoLine="0" r:id="rId7">
            <anchor moveWithCells="1">
              <from>
                <xdr:col>17</xdr:col>
                <xdr:colOff>123825</xdr:colOff>
                <xdr:row>11</xdr:row>
                <xdr:rowOff>47625</xdr:rowOff>
              </from>
              <to>
                <xdr:col>19</xdr:col>
                <xdr:colOff>400050</xdr:colOff>
                <xdr:row>13</xdr:row>
                <xdr:rowOff>9525</xdr:rowOff>
              </to>
            </anchor>
          </controlPr>
        </control>
      </mc:Choice>
      <mc:Fallback>
        <control shapeId="3075" r:id="rId6" name="CommandButton1"/>
      </mc:Fallback>
    </mc:AlternateContent>
    <mc:AlternateContent xmlns:mc="http://schemas.openxmlformats.org/markup-compatibility/2006">
      <mc:Choice Requires="x14">
        <control shapeId="3074" r:id="rId8" name="TextBox1">
          <controlPr defaultSize="0" autoLine="0" r:id="rId9">
            <anchor moveWithCells="1">
              <from>
                <xdr:col>7</xdr:col>
                <xdr:colOff>95250</xdr:colOff>
                <xdr:row>4</xdr:row>
                <xdr:rowOff>95250</xdr:rowOff>
              </from>
              <to>
                <xdr:col>19</xdr:col>
                <xdr:colOff>342900</xdr:colOff>
                <xdr:row>4</xdr:row>
                <xdr:rowOff>342900</xdr:rowOff>
              </to>
            </anchor>
          </controlPr>
        </control>
      </mc:Choice>
      <mc:Fallback>
        <control shapeId="3074" r:id="rId8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7:L60"/>
  <sheetViews>
    <sheetView showGridLines="0" view="pageBreakPreview" zoomScale="115" zoomScaleNormal="100" zoomScaleSheetLayoutView="115" workbookViewId="0">
      <selection activeCell="B16" sqref="B16:H16"/>
    </sheetView>
  </sheetViews>
  <sheetFormatPr defaultColWidth="5.625" defaultRowHeight="13.5" x14ac:dyDescent="0.15"/>
  <sheetData>
    <row r="7" spans="1:12" x14ac:dyDescent="0.15">
      <c r="A7" s="7" t="s">
        <v>49</v>
      </c>
      <c r="B7" s="46" t="s">
        <v>50</v>
      </c>
      <c r="C7" s="46"/>
      <c r="D7" s="46"/>
      <c r="E7" s="46"/>
      <c r="F7" s="46"/>
      <c r="G7" s="46"/>
      <c r="H7" s="46"/>
      <c r="I7" s="46" t="s">
        <v>390</v>
      </c>
      <c r="J7" s="46"/>
      <c r="K7" s="46"/>
      <c r="L7" s="46"/>
    </row>
    <row r="8" spans="1:12" x14ac:dyDescent="0.15">
      <c r="A8" s="7">
        <v>1</v>
      </c>
      <c r="B8" s="52" t="s">
        <v>401</v>
      </c>
      <c r="C8" s="51"/>
      <c r="D8" s="51"/>
      <c r="E8" s="51"/>
      <c r="F8" s="51"/>
      <c r="G8" s="51"/>
      <c r="H8" s="51"/>
      <c r="I8" s="48" t="s">
        <v>420</v>
      </c>
      <c r="J8" s="49"/>
      <c r="K8" s="49"/>
      <c r="L8" s="50"/>
    </row>
    <row r="9" spans="1:12" x14ac:dyDescent="0.15">
      <c r="A9" s="7">
        <v>2</v>
      </c>
      <c r="B9" s="52" t="s">
        <v>402</v>
      </c>
      <c r="C9" s="51"/>
      <c r="D9" s="51"/>
      <c r="E9" s="51"/>
      <c r="F9" s="51"/>
      <c r="G9" s="51"/>
      <c r="H9" s="51"/>
      <c r="I9" s="48" t="s">
        <v>421</v>
      </c>
      <c r="J9" s="49"/>
      <c r="K9" s="49"/>
      <c r="L9" s="50"/>
    </row>
    <row r="10" spans="1:12" x14ac:dyDescent="0.15">
      <c r="A10" s="11">
        <v>3</v>
      </c>
      <c r="B10" s="52" t="s">
        <v>403</v>
      </c>
      <c r="C10" s="51"/>
      <c r="D10" s="51"/>
      <c r="E10" s="51"/>
      <c r="F10" s="51"/>
      <c r="G10" s="51"/>
      <c r="H10" s="51"/>
      <c r="I10" s="48" t="s">
        <v>422</v>
      </c>
      <c r="J10" s="49"/>
      <c r="K10" s="49"/>
      <c r="L10" s="50"/>
    </row>
    <row r="11" spans="1:12" x14ac:dyDescent="0.15">
      <c r="A11" s="11">
        <v>4</v>
      </c>
      <c r="B11" s="52" t="s">
        <v>404</v>
      </c>
      <c r="C11" s="51"/>
      <c r="D11" s="51"/>
      <c r="E11" s="51"/>
      <c r="F11" s="51"/>
      <c r="G11" s="51"/>
      <c r="H11" s="51"/>
      <c r="I11" s="48" t="s">
        <v>423</v>
      </c>
      <c r="J11" s="49"/>
      <c r="K11" s="49"/>
      <c r="L11" s="50"/>
    </row>
    <row r="12" spans="1:12" x14ac:dyDescent="0.15">
      <c r="A12" s="11">
        <v>5</v>
      </c>
      <c r="B12" s="52" t="s">
        <v>405</v>
      </c>
      <c r="C12" s="51"/>
      <c r="D12" s="51"/>
      <c r="E12" s="51"/>
      <c r="F12" s="51"/>
      <c r="G12" s="51"/>
      <c r="H12" s="51"/>
      <c r="I12" s="48" t="s">
        <v>424</v>
      </c>
      <c r="J12" s="49"/>
      <c r="K12" s="49"/>
      <c r="L12" s="50"/>
    </row>
    <row r="13" spans="1:12" x14ac:dyDescent="0.15">
      <c r="A13" s="11">
        <v>6</v>
      </c>
      <c r="B13" s="52" t="s">
        <v>406</v>
      </c>
      <c r="C13" s="51"/>
      <c r="D13" s="51"/>
      <c r="E13" s="51"/>
      <c r="F13" s="51"/>
      <c r="G13" s="51"/>
      <c r="H13" s="51"/>
      <c r="I13" s="48" t="s">
        <v>425</v>
      </c>
      <c r="J13" s="49"/>
      <c r="K13" s="49"/>
      <c r="L13" s="50"/>
    </row>
    <row r="14" spans="1:12" x14ac:dyDescent="0.15">
      <c r="A14" s="11">
        <v>7</v>
      </c>
      <c r="B14" s="52" t="s">
        <v>407</v>
      </c>
      <c r="C14" s="51"/>
      <c r="D14" s="51"/>
      <c r="E14" s="51"/>
      <c r="F14" s="51"/>
      <c r="G14" s="51"/>
      <c r="H14" s="51"/>
      <c r="I14" s="48" t="s">
        <v>426</v>
      </c>
      <c r="J14" s="49"/>
      <c r="K14" s="49"/>
      <c r="L14" s="50"/>
    </row>
    <row r="15" spans="1:12" x14ac:dyDescent="0.15">
      <c r="A15" s="11">
        <v>8</v>
      </c>
      <c r="B15" s="52" t="s">
        <v>408</v>
      </c>
      <c r="C15" s="51"/>
      <c r="D15" s="51"/>
      <c r="E15" s="51"/>
      <c r="F15" s="51"/>
      <c r="G15" s="51"/>
      <c r="H15" s="51"/>
      <c r="I15" s="48" t="s">
        <v>391</v>
      </c>
      <c r="J15" s="49"/>
      <c r="K15" s="49"/>
      <c r="L15" s="50"/>
    </row>
    <row r="16" spans="1:12" x14ac:dyDescent="0.15">
      <c r="A16" s="11">
        <v>9</v>
      </c>
      <c r="B16" s="52" t="s">
        <v>409</v>
      </c>
      <c r="C16" s="51"/>
      <c r="D16" s="51"/>
      <c r="E16" s="51"/>
      <c r="F16" s="51"/>
      <c r="G16" s="51"/>
      <c r="H16" s="51"/>
      <c r="I16" s="48" t="s">
        <v>392</v>
      </c>
      <c r="J16" s="49"/>
      <c r="K16" s="49"/>
      <c r="L16" s="50"/>
    </row>
    <row r="17" spans="1:12" x14ac:dyDescent="0.15">
      <c r="A17" s="11">
        <v>10</v>
      </c>
      <c r="B17" s="52" t="s">
        <v>419</v>
      </c>
      <c r="C17" s="51"/>
      <c r="D17" s="51"/>
      <c r="E17" s="51"/>
      <c r="F17" s="51"/>
      <c r="G17" s="51"/>
      <c r="H17" s="51"/>
      <c r="I17" s="48" t="s">
        <v>418</v>
      </c>
      <c r="J17" s="49"/>
      <c r="K17" s="49"/>
      <c r="L17" s="50"/>
    </row>
    <row r="18" spans="1:12" x14ac:dyDescent="0.15">
      <c r="A18" s="11">
        <v>11</v>
      </c>
      <c r="B18" s="52" t="s">
        <v>410</v>
      </c>
      <c r="C18" s="51"/>
      <c r="D18" s="51"/>
      <c r="E18" s="51"/>
      <c r="F18" s="51"/>
      <c r="G18" s="51"/>
      <c r="H18" s="51"/>
      <c r="I18" s="48" t="s">
        <v>393</v>
      </c>
      <c r="J18" s="49"/>
      <c r="K18" s="49"/>
      <c r="L18" s="50"/>
    </row>
    <row r="19" spans="1:12" x14ac:dyDescent="0.15">
      <c r="A19" s="11">
        <v>12</v>
      </c>
      <c r="B19" s="52" t="s">
        <v>411</v>
      </c>
      <c r="C19" s="51"/>
      <c r="D19" s="51"/>
      <c r="E19" s="51"/>
      <c r="F19" s="51"/>
      <c r="G19" s="51"/>
      <c r="H19" s="51"/>
      <c r="I19" s="48" t="s">
        <v>394</v>
      </c>
      <c r="J19" s="49"/>
      <c r="K19" s="49"/>
      <c r="L19" s="50"/>
    </row>
    <row r="20" spans="1:12" x14ac:dyDescent="0.15">
      <c r="A20" s="11">
        <v>13</v>
      </c>
      <c r="B20" s="52" t="s">
        <v>412</v>
      </c>
      <c r="C20" s="51"/>
      <c r="D20" s="51"/>
      <c r="E20" s="51"/>
      <c r="F20" s="51"/>
      <c r="G20" s="51"/>
      <c r="H20" s="51"/>
      <c r="I20" s="48" t="s">
        <v>395</v>
      </c>
      <c r="J20" s="49"/>
      <c r="K20" s="49"/>
      <c r="L20" s="50"/>
    </row>
    <row r="21" spans="1:12" x14ac:dyDescent="0.15">
      <c r="A21" s="11">
        <v>14</v>
      </c>
      <c r="B21" s="52" t="s">
        <v>413</v>
      </c>
      <c r="C21" s="51"/>
      <c r="D21" s="51"/>
      <c r="E21" s="51"/>
      <c r="F21" s="51"/>
      <c r="G21" s="51"/>
      <c r="H21" s="51"/>
      <c r="I21" s="48" t="s">
        <v>396</v>
      </c>
      <c r="J21" s="49"/>
      <c r="K21" s="49"/>
      <c r="L21" s="50"/>
    </row>
    <row r="22" spans="1:12" x14ac:dyDescent="0.15">
      <c r="A22" s="11">
        <v>15</v>
      </c>
      <c r="B22" s="52" t="s">
        <v>414</v>
      </c>
      <c r="C22" s="51"/>
      <c r="D22" s="51"/>
      <c r="E22" s="51"/>
      <c r="F22" s="51"/>
      <c r="G22" s="51"/>
      <c r="H22" s="51"/>
      <c r="I22" s="48" t="s">
        <v>397</v>
      </c>
      <c r="J22" s="49"/>
      <c r="K22" s="49"/>
      <c r="L22" s="50"/>
    </row>
    <row r="23" spans="1:12" x14ac:dyDescent="0.15">
      <c r="A23" s="11">
        <v>16</v>
      </c>
      <c r="B23" s="52" t="s">
        <v>415</v>
      </c>
      <c r="C23" s="51"/>
      <c r="D23" s="51"/>
      <c r="E23" s="51"/>
      <c r="F23" s="51"/>
      <c r="G23" s="51"/>
      <c r="H23" s="51"/>
      <c r="I23" s="48" t="s">
        <v>398</v>
      </c>
      <c r="J23" s="49"/>
      <c r="K23" s="49"/>
      <c r="L23" s="50"/>
    </row>
    <row r="24" spans="1:12" x14ac:dyDescent="0.15">
      <c r="A24" s="11">
        <v>17</v>
      </c>
      <c r="B24" s="52" t="s">
        <v>416</v>
      </c>
      <c r="C24" s="51"/>
      <c r="D24" s="51"/>
      <c r="E24" s="51"/>
      <c r="F24" s="51"/>
      <c r="G24" s="51"/>
      <c r="H24" s="51"/>
      <c r="I24" s="48" t="s">
        <v>399</v>
      </c>
      <c r="J24" s="49"/>
      <c r="K24" s="49"/>
      <c r="L24" s="50"/>
    </row>
    <row r="25" spans="1:12" x14ac:dyDescent="0.15">
      <c r="A25" s="11">
        <v>18</v>
      </c>
      <c r="B25" s="52" t="s">
        <v>417</v>
      </c>
      <c r="C25" s="51"/>
      <c r="D25" s="51"/>
      <c r="E25" s="51"/>
      <c r="F25" s="51"/>
      <c r="G25" s="51"/>
      <c r="H25" s="51"/>
      <c r="I25" s="48" t="s">
        <v>400</v>
      </c>
      <c r="J25" s="49"/>
      <c r="K25" s="49"/>
      <c r="L25" s="50"/>
    </row>
    <row r="26" spans="1:12" x14ac:dyDescent="0.15">
      <c r="A26" s="11"/>
      <c r="B26" s="51"/>
      <c r="C26" s="51"/>
      <c r="D26" s="51"/>
      <c r="E26" s="51"/>
      <c r="F26" s="51"/>
      <c r="G26" s="51"/>
      <c r="H26" s="51"/>
      <c r="I26" s="48"/>
      <c r="J26" s="49"/>
      <c r="K26" s="49"/>
      <c r="L26" s="50"/>
    </row>
    <row r="27" spans="1:12" x14ac:dyDescent="0.15">
      <c r="A27" s="11"/>
      <c r="B27" s="51"/>
      <c r="C27" s="51"/>
      <c r="D27" s="51"/>
      <c r="E27" s="51"/>
      <c r="F27" s="51"/>
      <c r="G27" s="51"/>
      <c r="H27" s="51"/>
      <c r="I27" s="48"/>
      <c r="J27" s="49"/>
      <c r="K27" s="49"/>
      <c r="L27" s="50"/>
    </row>
    <row r="28" spans="1:12" x14ac:dyDescent="0.15">
      <c r="A28" s="11"/>
      <c r="B28" s="51"/>
      <c r="C28" s="51"/>
      <c r="D28" s="51"/>
      <c r="E28" s="51"/>
      <c r="F28" s="51"/>
      <c r="G28" s="51"/>
      <c r="H28" s="51"/>
      <c r="I28" s="48"/>
      <c r="J28" s="49"/>
      <c r="K28" s="49"/>
      <c r="L28" s="50"/>
    </row>
    <row r="29" spans="1:12" x14ac:dyDescent="0.15">
      <c r="A29" s="11"/>
      <c r="B29" s="51"/>
      <c r="C29" s="51"/>
      <c r="D29" s="51"/>
      <c r="E29" s="51"/>
      <c r="F29" s="51"/>
      <c r="G29" s="51"/>
      <c r="H29" s="51"/>
      <c r="I29" s="48"/>
      <c r="J29" s="49"/>
      <c r="K29" s="49"/>
      <c r="L29" s="50"/>
    </row>
    <row r="30" spans="1:12" x14ac:dyDescent="0.15">
      <c r="A30" s="11"/>
      <c r="B30" s="51"/>
      <c r="C30" s="51"/>
      <c r="D30" s="51"/>
      <c r="E30" s="51"/>
      <c r="F30" s="51"/>
      <c r="G30" s="51"/>
      <c r="H30" s="51"/>
      <c r="I30" s="48"/>
      <c r="J30" s="49"/>
      <c r="K30" s="49"/>
      <c r="L30" s="50"/>
    </row>
    <row r="31" spans="1:12" x14ac:dyDescent="0.15">
      <c r="A31" s="11"/>
      <c r="B31" s="51"/>
      <c r="C31" s="51"/>
      <c r="D31" s="51"/>
      <c r="E31" s="51"/>
      <c r="F31" s="51"/>
      <c r="G31" s="51"/>
      <c r="H31" s="51"/>
      <c r="I31" s="48"/>
      <c r="J31" s="49"/>
      <c r="K31" s="49"/>
      <c r="L31" s="50"/>
    </row>
    <row r="32" spans="1:12" x14ac:dyDescent="0.15">
      <c r="A32" s="11"/>
      <c r="B32" s="51"/>
      <c r="C32" s="51"/>
      <c r="D32" s="51"/>
      <c r="E32" s="51"/>
      <c r="F32" s="51"/>
      <c r="G32" s="51"/>
      <c r="H32" s="51"/>
      <c r="I32" s="48"/>
      <c r="J32" s="49"/>
      <c r="K32" s="49"/>
      <c r="L32" s="50"/>
    </row>
    <row r="33" spans="1:12" x14ac:dyDescent="0.15">
      <c r="A33" s="11"/>
      <c r="B33" s="51"/>
      <c r="C33" s="51"/>
      <c r="D33" s="51"/>
      <c r="E33" s="51"/>
      <c r="F33" s="51"/>
      <c r="G33" s="51"/>
      <c r="H33" s="51"/>
      <c r="I33" s="48"/>
      <c r="J33" s="49"/>
      <c r="K33" s="49"/>
      <c r="L33" s="50"/>
    </row>
    <row r="34" spans="1:12" x14ac:dyDescent="0.15">
      <c r="A34" s="11"/>
      <c r="B34" s="51"/>
      <c r="C34" s="51"/>
      <c r="D34" s="51"/>
      <c r="E34" s="51"/>
      <c r="F34" s="51"/>
      <c r="G34" s="51"/>
      <c r="H34" s="51"/>
      <c r="I34" s="48"/>
      <c r="J34" s="49"/>
      <c r="K34" s="49"/>
      <c r="L34" s="50"/>
    </row>
    <row r="35" spans="1:12" x14ac:dyDescent="0.15">
      <c r="A35" s="11"/>
      <c r="B35" s="51"/>
      <c r="C35" s="51"/>
      <c r="D35" s="51"/>
      <c r="E35" s="51"/>
      <c r="F35" s="51"/>
      <c r="G35" s="51"/>
      <c r="H35" s="51"/>
      <c r="I35" s="48"/>
      <c r="J35" s="49"/>
      <c r="K35" s="49"/>
      <c r="L35" s="50"/>
    </row>
    <row r="36" spans="1:12" x14ac:dyDescent="0.15">
      <c r="A36" s="11"/>
      <c r="B36" s="51"/>
      <c r="C36" s="51"/>
      <c r="D36" s="51"/>
      <c r="E36" s="51"/>
      <c r="F36" s="51"/>
      <c r="G36" s="51"/>
      <c r="H36" s="51"/>
      <c r="I36" s="48"/>
      <c r="J36" s="49"/>
      <c r="K36" s="49"/>
      <c r="L36" s="50"/>
    </row>
    <row r="37" spans="1:12" x14ac:dyDescent="0.15">
      <c r="A37" s="22"/>
      <c r="B37" s="51"/>
      <c r="C37" s="51"/>
      <c r="D37" s="51"/>
      <c r="E37" s="51"/>
      <c r="F37" s="51"/>
      <c r="G37" s="51"/>
      <c r="H37" s="51"/>
      <c r="I37" s="48"/>
      <c r="J37" s="49"/>
      <c r="K37" s="49"/>
      <c r="L37" s="50"/>
    </row>
    <row r="38" spans="1:12" x14ac:dyDescent="0.15">
      <c r="A38" s="22"/>
      <c r="B38" s="51"/>
      <c r="C38" s="51"/>
      <c r="D38" s="51"/>
      <c r="E38" s="51"/>
      <c r="F38" s="51"/>
      <c r="G38" s="51"/>
      <c r="H38" s="51"/>
      <c r="I38" s="48"/>
      <c r="J38" s="49"/>
      <c r="K38" s="49"/>
      <c r="L38" s="50"/>
    </row>
    <row r="39" spans="1:12" x14ac:dyDescent="0.15">
      <c r="A39" s="22"/>
      <c r="B39" s="51"/>
      <c r="C39" s="51"/>
      <c r="D39" s="51"/>
      <c r="E39" s="51"/>
      <c r="F39" s="51"/>
      <c r="G39" s="51"/>
      <c r="H39" s="51"/>
      <c r="I39" s="48"/>
      <c r="J39" s="49"/>
      <c r="K39" s="49"/>
      <c r="L39" s="50"/>
    </row>
    <row r="40" spans="1:12" x14ac:dyDescent="0.15">
      <c r="A40" s="22"/>
      <c r="B40" s="51"/>
      <c r="C40" s="51"/>
      <c r="D40" s="51"/>
      <c r="E40" s="51"/>
      <c r="F40" s="51"/>
      <c r="G40" s="51"/>
      <c r="H40" s="51"/>
      <c r="I40" s="48"/>
      <c r="J40" s="49"/>
      <c r="K40" s="49"/>
      <c r="L40" s="50"/>
    </row>
    <row r="41" spans="1:12" x14ac:dyDescent="0.15">
      <c r="A41" s="22"/>
      <c r="B41" s="51"/>
      <c r="C41" s="51"/>
      <c r="D41" s="51"/>
      <c r="E41" s="51"/>
      <c r="F41" s="51"/>
      <c r="G41" s="51"/>
      <c r="H41" s="51"/>
      <c r="I41" s="48"/>
      <c r="J41" s="49"/>
      <c r="K41" s="49"/>
      <c r="L41" s="50"/>
    </row>
    <row r="42" spans="1:12" x14ac:dyDescent="0.15">
      <c r="A42" s="22"/>
      <c r="B42" s="51"/>
      <c r="C42" s="51"/>
      <c r="D42" s="51"/>
      <c r="E42" s="51"/>
      <c r="F42" s="51"/>
      <c r="G42" s="51"/>
      <c r="H42" s="51"/>
      <c r="I42" s="48"/>
      <c r="J42" s="49"/>
      <c r="K42" s="49"/>
      <c r="L42" s="50"/>
    </row>
    <row r="43" spans="1:12" x14ac:dyDescent="0.15">
      <c r="A43" s="22"/>
      <c r="B43" s="51"/>
      <c r="C43" s="51"/>
      <c r="D43" s="51"/>
      <c r="E43" s="51"/>
      <c r="F43" s="51"/>
      <c r="G43" s="51"/>
      <c r="H43" s="51"/>
      <c r="I43" s="48"/>
      <c r="J43" s="49"/>
      <c r="K43" s="49"/>
      <c r="L43" s="50"/>
    </row>
    <row r="44" spans="1:12" x14ac:dyDescent="0.15">
      <c r="A44" s="22"/>
      <c r="B44" s="51"/>
      <c r="C44" s="51"/>
      <c r="D44" s="51"/>
      <c r="E44" s="51"/>
      <c r="F44" s="51"/>
      <c r="G44" s="51"/>
      <c r="H44" s="51"/>
      <c r="I44" s="48"/>
      <c r="J44" s="49"/>
      <c r="K44" s="49"/>
      <c r="L44" s="50"/>
    </row>
    <row r="45" spans="1:12" x14ac:dyDescent="0.15">
      <c r="A45" s="20"/>
      <c r="B45" s="51"/>
      <c r="C45" s="51"/>
      <c r="D45" s="51"/>
      <c r="E45" s="51"/>
      <c r="F45" s="51"/>
      <c r="G45" s="51"/>
      <c r="H45" s="51"/>
      <c r="I45" s="48"/>
      <c r="J45" s="49"/>
      <c r="K45" s="49"/>
      <c r="L45" s="50"/>
    </row>
    <row r="46" spans="1:12" x14ac:dyDescent="0.15">
      <c r="A46" s="20"/>
      <c r="B46" s="51"/>
      <c r="C46" s="51"/>
      <c r="D46" s="51"/>
      <c r="E46" s="51"/>
      <c r="F46" s="51"/>
      <c r="G46" s="51"/>
      <c r="H46" s="51"/>
      <c r="I46" s="48"/>
      <c r="J46" s="49"/>
      <c r="K46" s="49"/>
      <c r="L46" s="50"/>
    </row>
    <row r="47" spans="1:12" x14ac:dyDescent="0.15">
      <c r="A47" s="20"/>
      <c r="B47" s="51"/>
      <c r="C47" s="51"/>
      <c r="D47" s="51"/>
      <c r="E47" s="51"/>
      <c r="F47" s="51"/>
      <c r="G47" s="51"/>
      <c r="H47" s="51"/>
      <c r="I47" s="48"/>
      <c r="J47" s="49"/>
      <c r="K47" s="49"/>
      <c r="L47" s="50"/>
    </row>
    <row r="48" spans="1:12" x14ac:dyDescent="0.15">
      <c r="A48" s="10"/>
      <c r="B48" s="51"/>
      <c r="C48" s="51"/>
      <c r="D48" s="51"/>
      <c r="E48" s="51"/>
      <c r="F48" s="51"/>
      <c r="G48" s="51"/>
      <c r="H48" s="51"/>
      <c r="I48" s="48"/>
      <c r="J48" s="49"/>
      <c r="K48" s="49"/>
      <c r="L48" s="50"/>
    </row>
    <row r="49" spans="1:12" x14ac:dyDescent="0.15">
      <c r="A49" s="10"/>
      <c r="B49" s="51"/>
      <c r="C49" s="51"/>
      <c r="D49" s="51"/>
      <c r="E49" s="51"/>
      <c r="F49" s="51"/>
      <c r="G49" s="51"/>
      <c r="H49" s="51"/>
      <c r="I49" s="48"/>
      <c r="J49" s="49"/>
      <c r="K49" s="49"/>
      <c r="L49" s="50"/>
    </row>
    <row r="50" spans="1:12" x14ac:dyDescent="0.15">
      <c r="A50" s="10"/>
      <c r="B50" s="51"/>
      <c r="C50" s="51"/>
      <c r="D50" s="51"/>
      <c r="E50" s="51"/>
      <c r="F50" s="51"/>
      <c r="G50" s="51"/>
      <c r="H50" s="51"/>
      <c r="I50" s="48"/>
      <c r="J50" s="49"/>
      <c r="K50" s="49"/>
      <c r="L50" s="50"/>
    </row>
    <row r="51" spans="1:12" x14ac:dyDescent="0.15">
      <c r="A51" s="10"/>
      <c r="B51" s="51"/>
      <c r="C51" s="51"/>
      <c r="D51" s="51"/>
      <c r="E51" s="51"/>
      <c r="F51" s="51"/>
      <c r="G51" s="51"/>
      <c r="H51" s="51"/>
      <c r="I51" s="48"/>
      <c r="J51" s="49"/>
      <c r="K51" s="49"/>
      <c r="L51" s="50"/>
    </row>
    <row r="52" spans="1:12" x14ac:dyDescent="0.15">
      <c r="A52" s="10"/>
      <c r="B52" s="51"/>
      <c r="C52" s="51"/>
      <c r="D52" s="51"/>
      <c r="E52" s="51"/>
      <c r="F52" s="51"/>
      <c r="G52" s="51"/>
      <c r="H52" s="51"/>
      <c r="I52" s="48"/>
      <c r="J52" s="49"/>
      <c r="K52" s="49"/>
      <c r="L52" s="50"/>
    </row>
    <row r="53" spans="1:12" x14ac:dyDescent="0.15">
      <c r="A53" s="10"/>
      <c r="B53" s="51"/>
      <c r="C53" s="51"/>
      <c r="D53" s="51"/>
      <c r="E53" s="51"/>
      <c r="F53" s="51"/>
      <c r="G53" s="51"/>
      <c r="H53" s="51"/>
      <c r="I53" s="48"/>
      <c r="J53" s="49"/>
      <c r="K53" s="49"/>
      <c r="L53" s="50"/>
    </row>
    <row r="54" spans="1:12" x14ac:dyDescent="0.15">
      <c r="A54" s="10"/>
      <c r="B54" s="51"/>
      <c r="C54" s="51"/>
      <c r="D54" s="51"/>
      <c r="E54" s="51"/>
      <c r="F54" s="51"/>
      <c r="G54" s="51"/>
      <c r="H54" s="51"/>
      <c r="I54" s="48"/>
      <c r="J54" s="49"/>
      <c r="K54" s="49"/>
      <c r="L54" s="50"/>
    </row>
    <row r="55" spans="1:12" x14ac:dyDescent="0.15">
      <c r="A55" s="10"/>
      <c r="B55" s="51"/>
      <c r="C55" s="51"/>
      <c r="D55" s="51"/>
      <c r="E55" s="51"/>
      <c r="F55" s="51"/>
      <c r="G55" s="51"/>
      <c r="H55" s="51"/>
      <c r="I55" s="48"/>
      <c r="J55" s="49"/>
      <c r="K55" s="49"/>
      <c r="L55" s="50"/>
    </row>
    <row r="56" spans="1:12" x14ac:dyDescent="0.15">
      <c r="A56" s="10"/>
      <c r="B56" s="51"/>
      <c r="C56" s="51"/>
      <c r="D56" s="51"/>
      <c r="E56" s="51"/>
      <c r="F56" s="51"/>
      <c r="G56" s="51"/>
      <c r="H56" s="51"/>
      <c r="I56" s="48"/>
      <c r="J56" s="49"/>
      <c r="K56" s="49"/>
      <c r="L56" s="50"/>
    </row>
    <row r="57" spans="1:12" x14ac:dyDescent="0.15">
      <c r="A57" s="10"/>
      <c r="B57" s="51"/>
      <c r="C57" s="51"/>
      <c r="D57" s="51"/>
      <c r="E57" s="51"/>
      <c r="F57" s="51"/>
      <c r="G57" s="51"/>
      <c r="H57" s="51"/>
      <c r="I57" s="48"/>
      <c r="J57" s="49"/>
      <c r="K57" s="49"/>
      <c r="L57" s="50"/>
    </row>
    <row r="58" spans="1:12" x14ac:dyDescent="0.15">
      <c r="A58" s="7"/>
      <c r="B58" s="51"/>
      <c r="C58" s="51"/>
      <c r="D58" s="51"/>
      <c r="E58" s="51"/>
      <c r="F58" s="51"/>
      <c r="G58" s="51"/>
      <c r="H58" s="51"/>
      <c r="I58" s="48"/>
      <c r="J58" s="49"/>
      <c r="K58" s="49"/>
      <c r="L58" s="50"/>
    </row>
    <row r="59" spans="1:12" x14ac:dyDescent="0.15">
      <c r="A59" s="7"/>
      <c r="B59" s="51"/>
      <c r="C59" s="51"/>
      <c r="D59" s="51"/>
      <c r="E59" s="51"/>
      <c r="F59" s="51"/>
      <c r="G59" s="51"/>
      <c r="H59" s="51"/>
      <c r="I59" s="48"/>
      <c r="J59" s="49"/>
      <c r="K59" s="49"/>
      <c r="L59" s="50"/>
    </row>
    <row r="60" spans="1:12" x14ac:dyDescent="0.15">
      <c r="A60" s="7"/>
      <c r="B60" s="51"/>
      <c r="C60" s="51"/>
      <c r="D60" s="51"/>
      <c r="E60" s="51"/>
      <c r="F60" s="51"/>
      <c r="G60" s="51"/>
      <c r="H60" s="51"/>
      <c r="I60" s="48"/>
      <c r="J60" s="49"/>
      <c r="K60" s="49"/>
      <c r="L60" s="50"/>
    </row>
  </sheetData>
  <mergeCells count="108">
    <mergeCell ref="B7:H7"/>
    <mergeCell ref="B8:H8"/>
    <mergeCell ref="B9:H9"/>
    <mergeCell ref="B10:H10"/>
    <mergeCell ref="B31:H31"/>
    <mergeCell ref="B28:H28"/>
    <mergeCell ref="B11:H11"/>
    <mergeCell ref="B12:H12"/>
    <mergeCell ref="B13:H13"/>
    <mergeCell ref="B14:H14"/>
    <mergeCell ref="B15:H15"/>
    <mergeCell ref="B16:H16"/>
    <mergeCell ref="B19:H19"/>
    <mergeCell ref="B20:H20"/>
    <mergeCell ref="B21:H21"/>
    <mergeCell ref="B22:H22"/>
    <mergeCell ref="B17:H17"/>
    <mergeCell ref="B18:H18"/>
    <mergeCell ref="B23:H23"/>
    <mergeCell ref="B24:H24"/>
    <mergeCell ref="B25:H25"/>
    <mergeCell ref="B32:H32"/>
    <mergeCell ref="B33:H33"/>
    <mergeCell ref="B34:H34"/>
    <mergeCell ref="B29:H29"/>
    <mergeCell ref="B30:H30"/>
    <mergeCell ref="B39:H39"/>
    <mergeCell ref="B40:H40"/>
    <mergeCell ref="B41:H41"/>
    <mergeCell ref="B42:H42"/>
    <mergeCell ref="B43:H43"/>
    <mergeCell ref="B44:H44"/>
    <mergeCell ref="B45:H45"/>
    <mergeCell ref="B46:H46"/>
    <mergeCell ref="B47:H47"/>
    <mergeCell ref="I7:L7"/>
    <mergeCell ref="I8:L8"/>
    <mergeCell ref="I9:L9"/>
    <mergeCell ref="I10:L10"/>
    <mergeCell ref="I11:L11"/>
    <mergeCell ref="B26:H26"/>
    <mergeCell ref="B27:H27"/>
    <mergeCell ref="I12:L12"/>
    <mergeCell ref="I13:L13"/>
    <mergeCell ref="I14:L14"/>
    <mergeCell ref="I15:L15"/>
    <mergeCell ref="I16:L16"/>
    <mergeCell ref="I41:L41"/>
    <mergeCell ref="I32:L32"/>
    <mergeCell ref="I33:L33"/>
    <mergeCell ref="I34:L34"/>
    <mergeCell ref="I35:L35"/>
    <mergeCell ref="I36:L36"/>
    <mergeCell ref="I47:L47"/>
    <mergeCell ref="B60:H60"/>
    <mergeCell ref="B49:H49"/>
    <mergeCell ref="B50:H50"/>
    <mergeCell ref="B51:H51"/>
    <mergeCell ref="B52:H52"/>
    <mergeCell ref="B53:H53"/>
    <mergeCell ref="B54:H54"/>
    <mergeCell ref="B55:H55"/>
    <mergeCell ref="B56:H56"/>
    <mergeCell ref="B57:H57"/>
    <mergeCell ref="B58:H58"/>
    <mergeCell ref="B59:H59"/>
    <mergeCell ref="B48:H48"/>
    <mergeCell ref="B35:H35"/>
    <mergeCell ref="B36:H36"/>
    <mergeCell ref="B37:H37"/>
    <mergeCell ref="B38:H38"/>
    <mergeCell ref="I17:L17"/>
    <mergeCell ref="I18:L18"/>
    <mergeCell ref="I19:L19"/>
    <mergeCell ref="I20:L20"/>
    <mergeCell ref="I21:L21"/>
    <mergeCell ref="I27:L27"/>
    <mergeCell ref="I28:L28"/>
    <mergeCell ref="I29:L29"/>
    <mergeCell ref="I30:L30"/>
    <mergeCell ref="I31:L31"/>
    <mergeCell ref="I22:L22"/>
    <mergeCell ref="I23:L23"/>
    <mergeCell ref="I24:L24"/>
    <mergeCell ref="I25:L25"/>
    <mergeCell ref="I26:L26"/>
    <mergeCell ref="I37:L37"/>
    <mergeCell ref="I38:L38"/>
    <mergeCell ref="I39:L39"/>
    <mergeCell ref="I40:L40"/>
    <mergeCell ref="I48:L48"/>
    <mergeCell ref="I49:L49"/>
    <mergeCell ref="I50:L50"/>
    <mergeCell ref="I51:L51"/>
    <mergeCell ref="I42:L42"/>
    <mergeCell ref="I43:L43"/>
    <mergeCell ref="I44:L44"/>
    <mergeCell ref="I45:L45"/>
    <mergeCell ref="I46:L46"/>
    <mergeCell ref="I57:L57"/>
    <mergeCell ref="I58:L58"/>
    <mergeCell ref="I59:L59"/>
    <mergeCell ref="I60:L60"/>
    <mergeCell ref="I52:L52"/>
    <mergeCell ref="I53:L53"/>
    <mergeCell ref="I54:L54"/>
    <mergeCell ref="I55:L55"/>
    <mergeCell ref="I56:L56"/>
  </mergeCells>
  <phoneticPr fontId="1"/>
  <hyperlinks>
    <hyperlink ref="B8" location="'会員情報'!A1" display="'会員情報'!A1"/>
    <hyperlink ref="B9" location="'ユーザーオプション情報'!A1" display="'ユーザーオプション情報'!A1"/>
    <hyperlink ref="B10" location="'お気に入り情報'!A1" display="'お気に入り情報'!A1"/>
    <hyperlink ref="B11" location="'コラボ・ライブラリ共通情報'!A1" display="'コラボ・ライブラリ共通情報'!A1"/>
    <hyperlink ref="B12" location="'追加コンテンツ情報'!A1" display="'追加コンテンツ情報'!A1"/>
    <hyperlink ref="B13" location="'ライブラリ受注受付設定'!A1" display="'ライブラリ受注受付設定'!A1"/>
    <hyperlink ref="B14" location="'コラボ参加表明受付設定'!A1" display="'コラボ参加表明受付設定'!A1"/>
    <hyperlink ref="B15" location="'コラボ参加表明情報'!A1" display="'コラボ参加表明情報'!A1"/>
    <hyperlink ref="B16" location="'注文情報'!A1" display="'注文情報'!A1"/>
    <hyperlink ref="B17" location="'受注グループ情報'!A1" display="'受注グループ情報'!A1"/>
    <hyperlink ref="B18" location="'振込情報'!A1" display="'振込情報'!A1"/>
    <hyperlink ref="B19" location="'仲間・グループ情報'!A1" display="'仲間・グループ情報'!A1"/>
    <hyperlink ref="B20" location="'仲間グループユーザー情報'!A1" display="'仲間グループユーザー情報'!A1"/>
    <hyperlink ref="B21" location="'メッセージフィールド情報'!A1" display="'メッセージフィールド情報'!A1"/>
    <hyperlink ref="B22" location="'メッセージフィールドユーザー情報'!A1" display="'メッセージフィールドユーザー情報'!A1"/>
    <hyperlink ref="B23" location="'メッセージ情報'!A1" display="'メッセージ情報'!A1"/>
    <hyperlink ref="B24" location="'メッセージ添付データ情報'!A1" display="'メッセージ添付データ情報'!A1"/>
    <hyperlink ref="B25" location="'メッセージ未読既読情報'!A1" display="'メッセージ未読既読情報'!A1"/>
  </hyperlinks>
  <pageMargins left="0.7" right="0.7" top="0.75" bottom="0.75" header="0.3" footer="0.3"/>
  <pageSetup paperSize="9" scale="74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17</xdr:col>
                <xdr:colOff>238125</xdr:colOff>
                <xdr:row>4</xdr:row>
                <xdr:rowOff>19050</xdr:rowOff>
              </from>
              <to>
                <xdr:col>20</xdr:col>
                <xdr:colOff>104775</xdr:colOff>
                <xdr:row>6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H13"/>
  <sheetViews>
    <sheetView showGridLines="0" view="pageBreakPreview" zoomScale="115" zoomScaleNormal="100" zoomScaleSheetLayoutView="115" workbookViewId="0">
      <selection activeCell="K18" sqref="K18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5.625" style="1"/>
    <col min="34" max="34" width="6.875" style="1" bestFit="1" customWidth="1"/>
    <col min="35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35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共通項目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41</v>
      </c>
      <c r="P2" s="55"/>
      <c r="Q2" s="55"/>
      <c r="R2" s="55"/>
      <c r="S2" s="55"/>
      <c r="T2" s="59"/>
      <c r="U2" s="57" t="s">
        <v>39</v>
      </c>
      <c r="V2" s="58"/>
      <c r="W2" s="60">
        <v>40858</v>
      </c>
      <c r="X2" s="61"/>
      <c r="Y2" s="62"/>
      <c r="Z2" s="56" t="s">
        <v>0</v>
      </c>
      <c r="AA2" s="56"/>
      <c r="AB2" s="56"/>
      <c r="AC2" s="60">
        <v>40858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6" t="s">
        <v>11</v>
      </c>
      <c r="C3" s="56"/>
      <c r="D3" s="56"/>
      <c r="E3" s="2" t="s">
        <v>13</v>
      </c>
      <c r="F3" s="56" t="s">
        <v>38</v>
      </c>
      <c r="G3" s="56"/>
      <c r="H3" s="56"/>
      <c r="I3" s="64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6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3" t="s">
        <v>6</v>
      </c>
      <c r="P6" s="63" t="s">
        <v>7</v>
      </c>
      <c r="Q6" s="63"/>
      <c r="R6" s="3" t="s">
        <v>8</v>
      </c>
      <c r="S6" s="3" t="s">
        <v>9</v>
      </c>
      <c r="T6" s="67" t="s">
        <v>44</v>
      </c>
      <c r="U6" s="68"/>
      <c r="V6" s="67" t="s">
        <v>38</v>
      </c>
      <c r="W6" s="68"/>
      <c r="X6" s="68"/>
      <c r="Y6" s="68"/>
      <c r="Z6" s="68"/>
      <c r="AA6" s="68"/>
      <c r="AB6" s="68"/>
      <c r="AC6" s="68"/>
      <c r="AD6" s="68"/>
      <c r="AE6" s="69"/>
      <c r="AH6" s="1" t="s">
        <v>26</v>
      </c>
    </row>
    <row r="7" spans="2:34" ht="15" customHeight="1" x14ac:dyDescent="0.15">
      <c r="B7" s="4">
        <v>1</v>
      </c>
      <c r="C7" s="36" t="s">
        <v>14</v>
      </c>
      <c r="D7" s="37"/>
      <c r="E7" s="37"/>
      <c r="F7" s="37"/>
      <c r="G7" s="37"/>
      <c r="H7" s="38"/>
      <c r="I7" s="53" t="s">
        <v>15</v>
      </c>
      <c r="J7" s="53"/>
      <c r="K7" s="53"/>
      <c r="L7" s="53" t="s">
        <v>43</v>
      </c>
      <c r="M7" s="53"/>
      <c r="N7" s="53"/>
      <c r="O7" s="4">
        <v>11</v>
      </c>
      <c r="P7" s="53"/>
      <c r="Q7" s="53"/>
      <c r="R7" s="4" t="s">
        <v>19</v>
      </c>
      <c r="S7" s="4" t="s">
        <v>19</v>
      </c>
      <c r="T7" s="54" t="s">
        <v>45</v>
      </c>
      <c r="U7" s="55"/>
      <c r="V7" s="54"/>
      <c r="W7" s="55"/>
      <c r="X7" s="55"/>
      <c r="Y7" s="55"/>
      <c r="Z7" s="55"/>
      <c r="AA7" s="55"/>
      <c r="AB7" s="55"/>
      <c r="AC7" s="55"/>
      <c r="AD7" s="55"/>
      <c r="AE7" s="59"/>
      <c r="AH7" s="1" t="s">
        <v>27</v>
      </c>
    </row>
    <row r="8" spans="2:34" ht="15" customHeight="1" x14ac:dyDescent="0.15">
      <c r="B8" s="4">
        <v>2</v>
      </c>
      <c r="C8" s="36" t="s">
        <v>16</v>
      </c>
      <c r="D8" s="37"/>
      <c r="E8" s="37"/>
      <c r="F8" s="37"/>
      <c r="G8" s="37"/>
      <c r="H8" s="38"/>
      <c r="I8" s="53" t="s">
        <v>89</v>
      </c>
      <c r="J8" s="53"/>
      <c r="K8" s="53"/>
      <c r="L8" s="53" t="s">
        <v>17</v>
      </c>
      <c r="M8" s="53"/>
      <c r="N8" s="53"/>
      <c r="O8" s="4"/>
      <c r="P8" s="53"/>
      <c r="Q8" s="53"/>
      <c r="R8" s="4"/>
      <c r="S8" s="4"/>
      <c r="T8" s="54"/>
      <c r="U8" s="55"/>
      <c r="V8" s="36"/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9">
        <v>3</v>
      </c>
      <c r="C9" s="36" t="s">
        <v>20</v>
      </c>
      <c r="D9" s="37"/>
      <c r="E9" s="37"/>
      <c r="F9" s="37"/>
      <c r="G9" s="37"/>
      <c r="H9" s="38"/>
      <c r="I9" s="53" t="s">
        <v>90</v>
      </c>
      <c r="J9" s="53"/>
      <c r="K9" s="53"/>
      <c r="L9" s="53" t="s">
        <v>17</v>
      </c>
      <c r="M9" s="53"/>
      <c r="N9" s="53"/>
      <c r="O9" s="4"/>
      <c r="P9" s="53"/>
      <c r="Q9" s="53"/>
      <c r="R9" s="4"/>
      <c r="S9" s="4"/>
      <c r="T9" s="54"/>
      <c r="U9" s="55"/>
      <c r="V9" s="36"/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9">
        <v>4</v>
      </c>
      <c r="C10" s="36" t="s">
        <v>21</v>
      </c>
      <c r="D10" s="37"/>
      <c r="E10" s="37"/>
      <c r="F10" s="37"/>
      <c r="G10" s="37"/>
      <c r="H10" s="38"/>
      <c r="I10" s="53" t="s">
        <v>91</v>
      </c>
      <c r="J10" s="53"/>
      <c r="K10" s="53"/>
      <c r="L10" s="53" t="s">
        <v>43</v>
      </c>
      <c r="M10" s="53"/>
      <c r="N10" s="53"/>
      <c r="O10" s="4">
        <v>11</v>
      </c>
      <c r="P10" s="53"/>
      <c r="Q10" s="53"/>
      <c r="R10" s="4"/>
      <c r="S10" s="4"/>
      <c r="T10" s="54"/>
      <c r="U10" s="55"/>
      <c r="V10" s="36"/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9">
        <v>5</v>
      </c>
      <c r="C11" s="36" t="s">
        <v>22</v>
      </c>
      <c r="D11" s="37"/>
      <c r="E11" s="37"/>
      <c r="F11" s="37"/>
      <c r="G11" s="37"/>
      <c r="H11" s="38"/>
      <c r="I11" s="53" t="s">
        <v>92</v>
      </c>
      <c r="J11" s="53"/>
      <c r="K11" s="53"/>
      <c r="L11" s="53" t="s">
        <v>43</v>
      </c>
      <c r="M11" s="53"/>
      <c r="N11" s="53"/>
      <c r="O11" s="4">
        <v>11</v>
      </c>
      <c r="P11" s="53"/>
      <c r="Q11" s="53"/>
      <c r="R11" s="4"/>
      <c r="S11" s="4"/>
      <c r="T11" s="54"/>
      <c r="U11" s="55"/>
      <c r="V11" s="36"/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9">
        <v>6</v>
      </c>
      <c r="C12" s="36" t="s">
        <v>53</v>
      </c>
      <c r="D12" s="37"/>
      <c r="E12" s="37"/>
      <c r="F12" s="37"/>
      <c r="G12" s="37"/>
      <c r="H12" s="38"/>
      <c r="I12" s="53" t="s">
        <v>93</v>
      </c>
      <c r="J12" s="53"/>
      <c r="K12" s="53"/>
      <c r="L12" s="53" t="s">
        <v>23</v>
      </c>
      <c r="M12" s="53"/>
      <c r="N12" s="53"/>
      <c r="O12" s="9">
        <v>2</v>
      </c>
      <c r="P12" s="53">
        <v>0</v>
      </c>
      <c r="Q12" s="53"/>
      <c r="R12" s="9"/>
      <c r="S12" s="9"/>
      <c r="T12" s="54"/>
      <c r="U12" s="55"/>
      <c r="V12" s="36" t="s">
        <v>55</v>
      </c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9">
        <v>7</v>
      </c>
      <c r="C13" s="36" t="s">
        <v>54</v>
      </c>
      <c r="D13" s="37"/>
      <c r="E13" s="37"/>
      <c r="F13" s="37"/>
      <c r="G13" s="37"/>
      <c r="H13" s="38"/>
      <c r="I13" s="53" t="s">
        <v>94</v>
      </c>
      <c r="J13" s="53"/>
      <c r="K13" s="53"/>
      <c r="L13" s="53" t="s">
        <v>23</v>
      </c>
      <c r="M13" s="53"/>
      <c r="N13" s="53"/>
      <c r="O13" s="9">
        <v>2</v>
      </c>
      <c r="P13" s="53">
        <v>0</v>
      </c>
      <c r="Q13" s="53"/>
      <c r="R13" s="9"/>
      <c r="S13" s="9"/>
      <c r="T13" s="54"/>
      <c r="U13" s="55"/>
      <c r="V13" s="36" t="s">
        <v>55</v>
      </c>
      <c r="W13" s="37"/>
      <c r="X13" s="37"/>
      <c r="Y13" s="37"/>
      <c r="Z13" s="37"/>
      <c r="AA13" s="37"/>
      <c r="AB13" s="37"/>
      <c r="AC13" s="37"/>
      <c r="AD13" s="37"/>
      <c r="AE13" s="38"/>
    </row>
  </sheetData>
  <mergeCells count="61">
    <mergeCell ref="B1:AE1"/>
    <mergeCell ref="C11:H11"/>
    <mergeCell ref="I11:K11"/>
    <mergeCell ref="L11:N11"/>
    <mergeCell ref="P11:Q11"/>
    <mergeCell ref="C10:H10"/>
    <mergeCell ref="I10:K10"/>
    <mergeCell ref="L10:N10"/>
    <mergeCell ref="P10:Q10"/>
    <mergeCell ref="C9:H9"/>
    <mergeCell ref="I9:K9"/>
    <mergeCell ref="L9:N9"/>
    <mergeCell ref="P9:Q9"/>
    <mergeCell ref="B2:E2"/>
    <mergeCell ref="B3:D3"/>
    <mergeCell ref="B5:AE5"/>
    <mergeCell ref="C8:H8"/>
    <mergeCell ref="I8:K8"/>
    <mergeCell ref="L8:N8"/>
    <mergeCell ref="P8:Q8"/>
    <mergeCell ref="C6:H6"/>
    <mergeCell ref="C7:H7"/>
    <mergeCell ref="F3:H3"/>
    <mergeCell ref="I6:K6"/>
    <mergeCell ref="I7:K7"/>
    <mergeCell ref="L6:N6"/>
    <mergeCell ref="L7:N7"/>
    <mergeCell ref="I3:AE3"/>
    <mergeCell ref="T6:U6"/>
    <mergeCell ref="T7:U7"/>
    <mergeCell ref="V6:AE6"/>
    <mergeCell ref="V7:AE7"/>
    <mergeCell ref="P6:Q6"/>
    <mergeCell ref="P7:Q7"/>
    <mergeCell ref="F2:K2"/>
    <mergeCell ref="L2:N2"/>
    <mergeCell ref="U2:V2"/>
    <mergeCell ref="O2:T2"/>
    <mergeCell ref="AC2:AE2"/>
    <mergeCell ref="Z2:AB2"/>
    <mergeCell ref="W2:Y2"/>
    <mergeCell ref="T8:U8"/>
    <mergeCell ref="T9:U9"/>
    <mergeCell ref="T10:U10"/>
    <mergeCell ref="T11:U11"/>
    <mergeCell ref="V8:AE8"/>
    <mergeCell ref="V9:AE9"/>
    <mergeCell ref="V10:AE10"/>
    <mergeCell ref="V11:AE11"/>
    <mergeCell ref="V12:AE12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</mergeCells>
  <phoneticPr fontId="1"/>
  <conditionalFormatting sqref="B7:T8 V7:V11 C9:T11 B9:B13">
    <cfRule type="expression" dxfId="222" priority="3">
      <formula>$S7="○"</formula>
    </cfRule>
  </conditionalFormatting>
  <conditionalFormatting sqref="C12:T13 V12:V13">
    <cfRule type="expression" dxfId="221" priority="1">
      <formula>$S12="○"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13">
      <formula1>$AH$2:$AH$7</formula1>
    </dataValidation>
  </dataValidations>
  <pageMargins left="0.7" right="0.7" top="0.75" bottom="0.75" header="0.3" footer="0.3"/>
  <pageSetup paperSize="9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AH21"/>
  <sheetViews>
    <sheetView showGridLines="0" view="pageBreakPreview" zoomScale="115" zoomScaleNormal="100" zoomScaleSheetLayoutView="115" workbookViewId="0"/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会員情報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42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3" t="s">
        <v>6</v>
      </c>
      <c r="P6" s="63" t="s">
        <v>7</v>
      </c>
      <c r="Q6" s="63"/>
      <c r="R6" s="3" t="s">
        <v>8</v>
      </c>
      <c r="S6" s="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4">
        <v>1</v>
      </c>
      <c r="C7" s="75" t="s">
        <v>57</v>
      </c>
      <c r="D7" s="37"/>
      <c r="E7" s="37"/>
      <c r="F7" s="37"/>
      <c r="G7" s="37"/>
      <c r="H7" s="38"/>
      <c r="I7" s="53" t="s">
        <v>71</v>
      </c>
      <c r="J7" s="53"/>
      <c r="K7" s="53"/>
      <c r="L7" s="53" t="s">
        <v>82</v>
      </c>
      <c r="M7" s="53"/>
      <c r="N7" s="53"/>
      <c r="O7" s="4">
        <v>255</v>
      </c>
      <c r="P7" s="53"/>
      <c r="Q7" s="53"/>
      <c r="R7" s="4"/>
      <c r="S7" s="4"/>
      <c r="T7" s="74"/>
      <c r="U7" s="74"/>
      <c r="V7" s="36"/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4">
        <v>2</v>
      </c>
      <c r="C8" s="75" t="s">
        <v>61</v>
      </c>
      <c r="D8" s="37"/>
      <c r="E8" s="37"/>
      <c r="F8" s="37"/>
      <c r="G8" s="37"/>
      <c r="H8" s="38"/>
      <c r="I8" s="53" t="s">
        <v>72</v>
      </c>
      <c r="J8" s="53"/>
      <c r="K8" s="53"/>
      <c r="L8" s="53" t="s">
        <v>83</v>
      </c>
      <c r="M8" s="53"/>
      <c r="N8" s="53"/>
      <c r="O8" s="4">
        <v>2</v>
      </c>
      <c r="P8" s="53">
        <v>0</v>
      </c>
      <c r="Q8" s="53"/>
      <c r="R8" s="4"/>
      <c r="S8" s="4"/>
      <c r="T8" s="74"/>
      <c r="U8" s="74"/>
      <c r="V8" s="36" t="s">
        <v>58</v>
      </c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6">
        <v>3</v>
      </c>
      <c r="C9" s="75" t="s">
        <v>60</v>
      </c>
      <c r="D9" s="37"/>
      <c r="E9" s="37"/>
      <c r="F9" s="37"/>
      <c r="G9" s="37"/>
      <c r="H9" s="38"/>
      <c r="I9" s="53" t="s">
        <v>73</v>
      </c>
      <c r="J9" s="53"/>
      <c r="K9" s="53"/>
      <c r="L9" s="53" t="s">
        <v>84</v>
      </c>
      <c r="M9" s="53"/>
      <c r="N9" s="53"/>
      <c r="O9" s="4">
        <v>2</v>
      </c>
      <c r="P9" s="53">
        <v>0</v>
      </c>
      <c r="Q9" s="53"/>
      <c r="R9" s="4"/>
      <c r="S9" s="4"/>
      <c r="T9" s="74"/>
      <c r="U9" s="74"/>
      <c r="V9" s="36" t="s">
        <v>59</v>
      </c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4">
        <v>4</v>
      </c>
      <c r="C10" s="36" t="s">
        <v>62</v>
      </c>
      <c r="D10" s="37"/>
      <c r="E10" s="37"/>
      <c r="F10" s="37"/>
      <c r="G10" s="37"/>
      <c r="H10" s="38"/>
      <c r="I10" s="53" t="s">
        <v>74</v>
      </c>
      <c r="J10" s="53"/>
      <c r="K10" s="53"/>
      <c r="L10" s="53" t="s">
        <v>85</v>
      </c>
      <c r="M10" s="53"/>
      <c r="N10" s="53"/>
      <c r="O10" s="4">
        <v>255</v>
      </c>
      <c r="P10" s="53"/>
      <c r="Q10" s="53"/>
      <c r="R10" s="4"/>
      <c r="S10" s="4"/>
      <c r="T10" s="74"/>
      <c r="U10" s="74"/>
      <c r="V10" s="36"/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4">
        <v>5</v>
      </c>
      <c r="C11" s="36" t="s">
        <v>63</v>
      </c>
      <c r="D11" s="37"/>
      <c r="E11" s="37"/>
      <c r="F11" s="37"/>
      <c r="G11" s="37"/>
      <c r="H11" s="38"/>
      <c r="I11" s="53" t="s">
        <v>75</v>
      </c>
      <c r="J11" s="53"/>
      <c r="K11" s="53"/>
      <c r="L11" s="53" t="s">
        <v>85</v>
      </c>
      <c r="M11" s="53"/>
      <c r="N11" s="53"/>
      <c r="O11" s="6">
        <v>255</v>
      </c>
      <c r="P11" s="53"/>
      <c r="Q11" s="53"/>
      <c r="R11" s="6"/>
      <c r="S11" s="6"/>
      <c r="T11" s="74"/>
      <c r="U11" s="74"/>
      <c r="V11" s="36"/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4">
        <v>6</v>
      </c>
      <c r="C12" s="75" t="s">
        <v>64</v>
      </c>
      <c r="D12" s="37"/>
      <c r="E12" s="37"/>
      <c r="F12" s="37"/>
      <c r="G12" s="37"/>
      <c r="H12" s="38"/>
      <c r="I12" s="53" t="s">
        <v>76</v>
      </c>
      <c r="J12" s="53"/>
      <c r="K12" s="53"/>
      <c r="L12" s="53" t="s">
        <v>85</v>
      </c>
      <c r="M12" s="53"/>
      <c r="N12" s="53"/>
      <c r="O12" s="6">
        <v>255</v>
      </c>
      <c r="P12" s="53"/>
      <c r="Q12" s="53"/>
      <c r="R12" s="6"/>
      <c r="S12" s="6"/>
      <c r="T12" s="74"/>
      <c r="U12" s="74"/>
      <c r="V12" s="36"/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4">
        <v>7</v>
      </c>
      <c r="C13" s="36" t="s">
        <v>65</v>
      </c>
      <c r="D13" s="37"/>
      <c r="E13" s="37"/>
      <c r="F13" s="37"/>
      <c r="G13" s="37"/>
      <c r="H13" s="38"/>
      <c r="I13" s="53" t="s">
        <v>77</v>
      </c>
      <c r="J13" s="53"/>
      <c r="K13" s="53"/>
      <c r="L13" s="53" t="s">
        <v>85</v>
      </c>
      <c r="M13" s="53"/>
      <c r="N13" s="53"/>
      <c r="O13" s="6">
        <v>255</v>
      </c>
      <c r="P13" s="53"/>
      <c r="Q13" s="53"/>
      <c r="R13" s="6"/>
      <c r="S13" s="6"/>
      <c r="T13" s="74"/>
      <c r="U13" s="74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4">
        <v>8</v>
      </c>
      <c r="C14" s="36" t="s">
        <v>66</v>
      </c>
      <c r="D14" s="37"/>
      <c r="E14" s="37"/>
      <c r="F14" s="37"/>
      <c r="G14" s="37"/>
      <c r="H14" s="38"/>
      <c r="I14" s="36" t="s">
        <v>78</v>
      </c>
      <c r="J14" s="37"/>
      <c r="K14" s="38"/>
      <c r="L14" s="36" t="s">
        <v>85</v>
      </c>
      <c r="M14" s="37"/>
      <c r="N14" s="38"/>
      <c r="O14" s="6">
        <v>255</v>
      </c>
      <c r="P14" s="36"/>
      <c r="Q14" s="38"/>
      <c r="R14" s="6"/>
      <c r="S14" s="6"/>
      <c r="T14" s="54"/>
      <c r="U14" s="59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>
        <v>9</v>
      </c>
      <c r="C15" s="36" t="s">
        <v>67</v>
      </c>
      <c r="D15" s="37"/>
      <c r="E15" s="37"/>
      <c r="F15" s="37"/>
      <c r="G15" s="37"/>
      <c r="H15" s="38"/>
      <c r="I15" s="36" t="s">
        <v>79</v>
      </c>
      <c r="J15" s="37"/>
      <c r="K15" s="38"/>
      <c r="L15" s="36" t="s">
        <v>85</v>
      </c>
      <c r="M15" s="37"/>
      <c r="N15" s="38"/>
      <c r="O15" s="6">
        <v>255</v>
      </c>
      <c r="P15" s="36"/>
      <c r="Q15" s="38"/>
      <c r="R15" s="6"/>
      <c r="S15" s="6"/>
      <c r="T15" s="54"/>
      <c r="U15" s="59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>
        <v>10</v>
      </c>
      <c r="C16" s="36" t="s">
        <v>68</v>
      </c>
      <c r="D16" s="37"/>
      <c r="E16" s="37"/>
      <c r="F16" s="37"/>
      <c r="G16" s="37"/>
      <c r="H16" s="38"/>
      <c r="I16" s="36" t="s">
        <v>80</v>
      </c>
      <c r="J16" s="37"/>
      <c r="K16" s="38"/>
      <c r="L16" s="36" t="s">
        <v>85</v>
      </c>
      <c r="M16" s="37"/>
      <c r="N16" s="38"/>
      <c r="O16" s="6">
        <v>255</v>
      </c>
      <c r="P16" s="36"/>
      <c r="Q16" s="38"/>
      <c r="R16" s="6"/>
      <c r="S16" s="6"/>
      <c r="T16" s="54"/>
      <c r="U16" s="59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>
        <v>11</v>
      </c>
      <c r="C17" s="36" t="s">
        <v>69</v>
      </c>
      <c r="D17" s="37"/>
      <c r="E17" s="37"/>
      <c r="F17" s="37"/>
      <c r="G17" s="37"/>
      <c r="H17" s="38"/>
      <c r="I17" s="36" t="s">
        <v>81</v>
      </c>
      <c r="J17" s="37"/>
      <c r="K17" s="38"/>
      <c r="L17" s="36" t="s">
        <v>85</v>
      </c>
      <c r="M17" s="37"/>
      <c r="N17" s="38"/>
      <c r="O17" s="6">
        <v>255</v>
      </c>
      <c r="P17" s="36"/>
      <c r="Q17" s="38"/>
      <c r="R17" s="6"/>
      <c r="S17" s="6"/>
      <c r="T17" s="54"/>
      <c r="U17" s="59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>
        <v>12</v>
      </c>
      <c r="C18" s="36" t="s">
        <v>70</v>
      </c>
      <c r="D18" s="37"/>
      <c r="E18" s="37"/>
      <c r="F18" s="37"/>
      <c r="G18" s="37"/>
      <c r="H18" s="38"/>
      <c r="I18" s="53" t="s">
        <v>334</v>
      </c>
      <c r="J18" s="53"/>
      <c r="K18" s="53"/>
      <c r="L18" s="53" t="s">
        <v>86</v>
      </c>
      <c r="M18" s="53"/>
      <c r="N18" s="53"/>
      <c r="O18" s="6"/>
      <c r="P18" s="53"/>
      <c r="Q18" s="53"/>
      <c r="R18" s="6"/>
      <c r="S18" s="6"/>
      <c r="T18" s="74"/>
      <c r="U18" s="74"/>
      <c r="V18" s="36" t="s">
        <v>88</v>
      </c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8">
        <v>13</v>
      </c>
      <c r="C19" s="36" t="s">
        <v>331</v>
      </c>
      <c r="D19" s="37"/>
      <c r="E19" s="37"/>
      <c r="F19" s="37"/>
      <c r="G19" s="37"/>
      <c r="H19" s="38"/>
      <c r="I19" s="53" t="s">
        <v>332</v>
      </c>
      <c r="J19" s="53"/>
      <c r="K19" s="53"/>
      <c r="L19" s="53" t="s">
        <v>87</v>
      </c>
      <c r="M19" s="53"/>
      <c r="N19" s="53"/>
      <c r="O19" s="6"/>
      <c r="P19" s="53"/>
      <c r="Q19" s="53"/>
      <c r="R19" s="6"/>
      <c r="S19" s="6"/>
      <c r="T19" s="74"/>
      <c r="U19" s="74"/>
      <c r="V19" s="36" t="s">
        <v>88</v>
      </c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23">
        <v>14</v>
      </c>
      <c r="C20" s="36" t="s">
        <v>342</v>
      </c>
      <c r="D20" s="37"/>
      <c r="E20" s="37"/>
      <c r="F20" s="37"/>
      <c r="G20" s="37"/>
      <c r="H20" s="38"/>
      <c r="I20" s="53" t="s">
        <v>343</v>
      </c>
      <c r="J20" s="53"/>
      <c r="K20" s="53"/>
      <c r="L20" s="53" t="s">
        <v>344</v>
      </c>
      <c r="M20" s="53"/>
      <c r="N20" s="53"/>
      <c r="O20" s="6">
        <v>255</v>
      </c>
      <c r="P20" s="53"/>
      <c r="Q20" s="53"/>
      <c r="R20" s="6"/>
      <c r="S20" s="6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  <row r="21" spans="2:31" ht="15" customHeight="1" x14ac:dyDescent="0.15">
      <c r="B21" s="23">
        <v>15</v>
      </c>
      <c r="C21" s="36" t="s">
        <v>386</v>
      </c>
      <c r="D21" s="37"/>
      <c r="E21" s="37"/>
      <c r="F21" s="37"/>
      <c r="G21" s="37"/>
      <c r="H21" s="38"/>
      <c r="I21" s="53" t="s">
        <v>387</v>
      </c>
      <c r="J21" s="53"/>
      <c r="K21" s="53"/>
      <c r="L21" s="53" t="s">
        <v>388</v>
      </c>
      <c r="M21" s="53"/>
      <c r="N21" s="53"/>
      <c r="O21" s="23">
        <v>255</v>
      </c>
      <c r="P21" s="53"/>
      <c r="Q21" s="53"/>
      <c r="R21" s="23"/>
      <c r="S21" s="23"/>
      <c r="T21" s="74"/>
      <c r="U21" s="74"/>
      <c r="V21" s="36"/>
      <c r="W21" s="37"/>
      <c r="X21" s="37"/>
      <c r="Y21" s="37"/>
      <c r="Z21" s="37"/>
      <c r="AA21" s="37"/>
      <c r="AB21" s="37"/>
      <c r="AC21" s="37"/>
      <c r="AD21" s="37"/>
      <c r="AE21" s="38"/>
    </row>
  </sheetData>
  <mergeCells count="109">
    <mergeCell ref="B1:AE1"/>
    <mergeCell ref="C9:H9"/>
    <mergeCell ref="I9:K9"/>
    <mergeCell ref="L9:N9"/>
    <mergeCell ref="P9:Q9"/>
    <mergeCell ref="C7:H7"/>
    <mergeCell ref="I7:K7"/>
    <mergeCell ref="L7:N7"/>
    <mergeCell ref="P7:Q7"/>
    <mergeCell ref="C8:H8"/>
    <mergeCell ref="I8:K8"/>
    <mergeCell ref="L8:N8"/>
    <mergeCell ref="B5:AE5"/>
    <mergeCell ref="C6:H6"/>
    <mergeCell ref="I6:K6"/>
    <mergeCell ref="L6:N6"/>
    <mergeCell ref="P8:Q8"/>
    <mergeCell ref="B2:E2"/>
    <mergeCell ref="F2:K2"/>
    <mergeCell ref="L2:N2"/>
    <mergeCell ref="U2:V2"/>
    <mergeCell ref="W2:Y2"/>
    <mergeCell ref="P6:Q6"/>
    <mergeCell ref="T6:U6"/>
    <mergeCell ref="Z2:AB2"/>
    <mergeCell ref="AC2:AE2"/>
    <mergeCell ref="O2:T2"/>
    <mergeCell ref="V7:AE7"/>
    <mergeCell ref="V8:AE8"/>
    <mergeCell ref="V9:AE9"/>
    <mergeCell ref="V10:AE10"/>
    <mergeCell ref="T7:U7"/>
    <mergeCell ref="T8:U8"/>
    <mergeCell ref="T9:U9"/>
    <mergeCell ref="T10:U10"/>
    <mergeCell ref="B3:D3"/>
    <mergeCell ref="F3:H3"/>
    <mergeCell ref="I3:AE3"/>
    <mergeCell ref="C10:H10"/>
    <mergeCell ref="I10:K10"/>
    <mergeCell ref="L10:N10"/>
    <mergeCell ref="P10:Q10"/>
    <mergeCell ref="V11:AE11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6:AE6"/>
    <mergeCell ref="V13:AE13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5:AE15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9:AE19"/>
    <mergeCell ref="C19:H19"/>
    <mergeCell ref="I19:K19"/>
    <mergeCell ref="L19:N19"/>
    <mergeCell ref="P19:Q19"/>
    <mergeCell ref="T19:U19"/>
    <mergeCell ref="V17:AE17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C21:H21"/>
    <mergeCell ref="I21:K21"/>
    <mergeCell ref="L21:N21"/>
    <mergeCell ref="P21:Q21"/>
    <mergeCell ref="T21:U21"/>
    <mergeCell ref="V21:AE21"/>
    <mergeCell ref="V20:AE20"/>
    <mergeCell ref="C20:H20"/>
    <mergeCell ref="I20:K20"/>
    <mergeCell ref="L20:N20"/>
    <mergeCell ref="P20:Q20"/>
    <mergeCell ref="T20:U20"/>
  </mergeCells>
  <phoneticPr fontId="1"/>
  <conditionalFormatting sqref="V10 B7:T8 C9:T10 B9:B21">
    <cfRule type="expression" dxfId="220" priority="18">
      <formula>$S7="○"</formula>
    </cfRule>
  </conditionalFormatting>
  <conditionalFormatting sqref="V11 C11:T11">
    <cfRule type="expression" dxfId="219" priority="17">
      <formula>$S11="○"</formula>
    </cfRule>
  </conditionalFormatting>
  <conditionalFormatting sqref="V12 C12:T12">
    <cfRule type="expression" dxfId="218" priority="16">
      <formula>$S12="○"</formula>
    </cfRule>
  </conditionalFormatting>
  <conditionalFormatting sqref="V13 C13:T13">
    <cfRule type="expression" dxfId="217" priority="15">
      <formula>$S13="○"</formula>
    </cfRule>
  </conditionalFormatting>
  <conditionalFormatting sqref="V14 C14:T14">
    <cfRule type="expression" dxfId="216" priority="14">
      <formula>$S14="○"</formula>
    </cfRule>
  </conditionalFormatting>
  <conditionalFormatting sqref="V15 C15:K15 P15:T15">
    <cfRule type="expression" dxfId="215" priority="13">
      <formula>$S15="○"</formula>
    </cfRule>
  </conditionalFormatting>
  <conditionalFormatting sqref="V16 C16:K16 P16:T16">
    <cfRule type="expression" dxfId="214" priority="12">
      <formula>$S16="○"</formula>
    </cfRule>
  </conditionalFormatting>
  <conditionalFormatting sqref="V17 C17:T17">
    <cfRule type="expression" dxfId="213" priority="11">
      <formula>$S17="○"</formula>
    </cfRule>
  </conditionalFormatting>
  <conditionalFormatting sqref="O16">
    <cfRule type="expression" dxfId="212" priority="3">
      <formula>$S16="○"</formula>
    </cfRule>
  </conditionalFormatting>
  <conditionalFormatting sqref="V18 C18:T18">
    <cfRule type="expression" dxfId="211" priority="10">
      <formula>$S18="○"</formula>
    </cfRule>
  </conditionalFormatting>
  <conditionalFormatting sqref="V19 C19:T19">
    <cfRule type="expression" dxfId="210" priority="9">
      <formula>$S19="○"</formula>
    </cfRule>
  </conditionalFormatting>
  <conditionalFormatting sqref="V20 C20:T20">
    <cfRule type="expression" dxfId="209" priority="7">
      <formula>$S20="○"</formula>
    </cfRule>
  </conditionalFormatting>
  <conditionalFormatting sqref="L16:N16">
    <cfRule type="expression" dxfId="208" priority="6">
      <formula>$S16="○"</formula>
    </cfRule>
  </conditionalFormatting>
  <conditionalFormatting sqref="L15:N15">
    <cfRule type="expression" dxfId="207" priority="5">
      <formula>$S15="○"</formula>
    </cfRule>
  </conditionalFormatting>
  <conditionalFormatting sqref="O15">
    <cfRule type="expression" dxfId="206" priority="4">
      <formula>$S15="○"</formula>
    </cfRule>
  </conditionalFormatting>
  <conditionalFormatting sqref="V21 C21:T21">
    <cfRule type="expression" dxfId="205" priority="1">
      <formula>$S21="○"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1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AH21"/>
  <sheetViews>
    <sheetView showGridLines="0" view="pageBreakPreview" zoomScale="115" zoomScaleNormal="100" zoomScaleSheetLayoutView="115" workbookViewId="0">
      <selection activeCell="AB34" sqref="AB34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ユーザーオプション情報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166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97</v>
      </c>
      <c r="D7" s="37"/>
      <c r="E7" s="37"/>
      <c r="F7" s="37"/>
      <c r="G7" s="37"/>
      <c r="H7" s="38"/>
      <c r="I7" s="53" t="s">
        <v>98</v>
      </c>
      <c r="J7" s="53"/>
      <c r="K7" s="53"/>
      <c r="L7" s="53" t="s">
        <v>104</v>
      </c>
      <c r="M7" s="53"/>
      <c r="N7" s="53"/>
      <c r="O7" s="14">
        <v>11</v>
      </c>
      <c r="P7" s="53"/>
      <c r="Q7" s="53"/>
      <c r="R7" s="14"/>
      <c r="S7" s="14"/>
      <c r="T7" s="74"/>
      <c r="U7" s="74"/>
      <c r="V7" s="36" t="s">
        <v>105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96</v>
      </c>
      <c r="D8" s="37"/>
      <c r="E8" s="37"/>
      <c r="F8" s="37"/>
      <c r="G8" s="37"/>
      <c r="H8" s="38"/>
      <c r="I8" s="53" t="s">
        <v>99</v>
      </c>
      <c r="J8" s="53"/>
      <c r="K8" s="53"/>
      <c r="L8" s="53" t="s">
        <v>103</v>
      </c>
      <c r="M8" s="53"/>
      <c r="N8" s="53"/>
      <c r="O8" s="14">
        <v>255</v>
      </c>
      <c r="P8" s="53"/>
      <c r="Q8" s="53"/>
      <c r="R8" s="14"/>
      <c r="S8" s="14"/>
      <c r="T8" s="74"/>
      <c r="U8" s="74"/>
      <c r="V8" s="36"/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4">
        <v>3</v>
      </c>
      <c r="C9" s="75" t="s">
        <v>95</v>
      </c>
      <c r="D9" s="37"/>
      <c r="E9" s="37"/>
      <c r="F9" s="37"/>
      <c r="G9" s="37"/>
      <c r="H9" s="38"/>
      <c r="I9" s="53" t="s">
        <v>100</v>
      </c>
      <c r="J9" s="53"/>
      <c r="K9" s="53"/>
      <c r="L9" s="53" t="s">
        <v>101</v>
      </c>
      <c r="M9" s="53"/>
      <c r="N9" s="53"/>
      <c r="O9" s="14"/>
      <c r="P9" s="53"/>
      <c r="Q9" s="53"/>
      <c r="R9" s="14"/>
      <c r="S9" s="14"/>
      <c r="T9" s="74"/>
      <c r="U9" s="74"/>
      <c r="V9" s="36"/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4"/>
      <c r="C10" s="36"/>
      <c r="D10" s="37"/>
      <c r="E10" s="37"/>
      <c r="F10" s="37"/>
      <c r="G10" s="37"/>
      <c r="H10" s="38"/>
      <c r="I10" s="53"/>
      <c r="J10" s="53"/>
      <c r="K10" s="53"/>
      <c r="L10" s="53"/>
      <c r="M10" s="53"/>
      <c r="N10" s="53"/>
      <c r="O10" s="14"/>
      <c r="P10" s="53"/>
      <c r="Q10" s="53"/>
      <c r="R10" s="14"/>
      <c r="S10" s="14"/>
      <c r="T10" s="74"/>
      <c r="U10" s="74"/>
      <c r="V10" s="36"/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4"/>
      <c r="C11" s="36"/>
      <c r="D11" s="37"/>
      <c r="E11" s="37"/>
      <c r="F11" s="37"/>
      <c r="G11" s="37"/>
      <c r="H11" s="38"/>
      <c r="I11" s="53"/>
      <c r="J11" s="53"/>
      <c r="K11" s="53"/>
      <c r="L11" s="53"/>
      <c r="M11" s="53"/>
      <c r="N11" s="53"/>
      <c r="O11" s="14"/>
      <c r="P11" s="53"/>
      <c r="Q11" s="53"/>
      <c r="R11" s="14"/>
      <c r="S11" s="14"/>
      <c r="T11" s="74"/>
      <c r="U11" s="74"/>
      <c r="V11" s="36"/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4"/>
      <c r="C12" s="75"/>
      <c r="D12" s="37"/>
      <c r="E12" s="37"/>
      <c r="F12" s="37"/>
      <c r="G12" s="37"/>
      <c r="H12" s="38"/>
      <c r="I12" s="53"/>
      <c r="J12" s="53"/>
      <c r="K12" s="53"/>
      <c r="L12" s="53"/>
      <c r="M12" s="53"/>
      <c r="N12" s="53"/>
      <c r="O12" s="14"/>
      <c r="P12" s="53"/>
      <c r="Q12" s="53"/>
      <c r="R12" s="14"/>
      <c r="S12" s="14"/>
      <c r="T12" s="74"/>
      <c r="U12" s="74"/>
      <c r="V12" s="36"/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4"/>
      <c r="C13" s="36"/>
      <c r="D13" s="37"/>
      <c r="E13" s="37"/>
      <c r="F13" s="37"/>
      <c r="G13" s="37"/>
      <c r="H13" s="38"/>
      <c r="I13" s="53"/>
      <c r="J13" s="53"/>
      <c r="K13" s="53"/>
      <c r="L13" s="53"/>
      <c r="M13" s="53"/>
      <c r="N13" s="53"/>
      <c r="O13" s="14"/>
      <c r="P13" s="53"/>
      <c r="Q13" s="53"/>
      <c r="R13" s="14"/>
      <c r="S13" s="14"/>
      <c r="T13" s="74"/>
      <c r="U13" s="74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4"/>
      <c r="C14" s="36"/>
      <c r="D14" s="37"/>
      <c r="E14" s="37"/>
      <c r="F14" s="37"/>
      <c r="G14" s="37"/>
      <c r="H14" s="38"/>
      <c r="I14" s="36"/>
      <c r="J14" s="37"/>
      <c r="K14" s="38"/>
      <c r="L14" s="36"/>
      <c r="M14" s="37"/>
      <c r="N14" s="38"/>
      <c r="O14" s="14"/>
      <c r="P14" s="36"/>
      <c r="Q14" s="38"/>
      <c r="R14" s="14"/>
      <c r="S14" s="14"/>
      <c r="T14" s="54"/>
      <c r="U14" s="59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/>
      <c r="C15" s="36"/>
      <c r="D15" s="37"/>
      <c r="E15" s="37"/>
      <c r="F15" s="37"/>
      <c r="G15" s="37"/>
      <c r="H15" s="38"/>
      <c r="I15" s="36"/>
      <c r="J15" s="37"/>
      <c r="K15" s="38"/>
      <c r="L15" s="36"/>
      <c r="M15" s="37"/>
      <c r="N15" s="38"/>
      <c r="O15" s="14"/>
      <c r="P15" s="36"/>
      <c r="Q15" s="38"/>
      <c r="R15" s="14"/>
      <c r="S15" s="14"/>
      <c r="T15" s="54"/>
      <c r="U15" s="59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/>
      <c r="C16" s="36"/>
      <c r="D16" s="37"/>
      <c r="E16" s="37"/>
      <c r="F16" s="37"/>
      <c r="G16" s="37"/>
      <c r="H16" s="38"/>
      <c r="I16" s="36"/>
      <c r="J16" s="37"/>
      <c r="K16" s="38"/>
      <c r="L16" s="36"/>
      <c r="M16" s="37"/>
      <c r="N16" s="38"/>
      <c r="O16" s="14"/>
      <c r="P16" s="36"/>
      <c r="Q16" s="38"/>
      <c r="R16" s="14"/>
      <c r="S16" s="14"/>
      <c r="T16" s="54"/>
      <c r="U16" s="59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/>
      <c r="C17" s="36"/>
      <c r="D17" s="37"/>
      <c r="E17" s="37"/>
      <c r="F17" s="37"/>
      <c r="G17" s="37"/>
      <c r="H17" s="38"/>
      <c r="I17" s="36"/>
      <c r="J17" s="37"/>
      <c r="K17" s="38"/>
      <c r="L17" s="36"/>
      <c r="M17" s="37"/>
      <c r="N17" s="38"/>
      <c r="O17" s="14"/>
      <c r="P17" s="36"/>
      <c r="Q17" s="38"/>
      <c r="R17" s="14"/>
      <c r="S17" s="14"/>
      <c r="T17" s="54"/>
      <c r="U17" s="59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/>
      <c r="C18" s="36"/>
      <c r="D18" s="37"/>
      <c r="E18" s="37"/>
      <c r="F18" s="37"/>
      <c r="G18" s="37"/>
      <c r="H18" s="38"/>
      <c r="I18" s="53"/>
      <c r="J18" s="53"/>
      <c r="K18" s="53"/>
      <c r="L18" s="53"/>
      <c r="M18" s="53"/>
      <c r="N18" s="53"/>
      <c r="O18" s="14"/>
      <c r="P18" s="53"/>
      <c r="Q18" s="53"/>
      <c r="R18" s="14"/>
      <c r="S18" s="14"/>
      <c r="T18" s="74"/>
      <c r="U18" s="74"/>
      <c r="V18" s="36"/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4"/>
      <c r="C19" s="36"/>
      <c r="D19" s="37"/>
      <c r="E19" s="37"/>
      <c r="F19" s="37"/>
      <c r="G19" s="37"/>
      <c r="H19" s="38"/>
      <c r="I19" s="53"/>
      <c r="J19" s="53"/>
      <c r="K19" s="53"/>
      <c r="L19" s="53"/>
      <c r="M19" s="53"/>
      <c r="N19" s="53"/>
      <c r="O19" s="14"/>
      <c r="P19" s="53"/>
      <c r="Q19" s="53"/>
      <c r="R19" s="14"/>
      <c r="S19" s="14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14"/>
      <c r="C20" s="36"/>
      <c r="D20" s="37"/>
      <c r="E20" s="37"/>
      <c r="F20" s="37"/>
      <c r="G20" s="37"/>
      <c r="H20" s="38"/>
      <c r="I20" s="53"/>
      <c r="J20" s="53"/>
      <c r="K20" s="53"/>
      <c r="L20" s="53"/>
      <c r="M20" s="53"/>
      <c r="N20" s="53"/>
      <c r="O20" s="14"/>
      <c r="P20" s="53"/>
      <c r="Q20" s="53"/>
      <c r="R20" s="14"/>
      <c r="S20" s="14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  <row r="21" spans="2:31" ht="15" customHeight="1" x14ac:dyDescent="0.15">
      <c r="B21" s="14"/>
      <c r="C21" s="36"/>
      <c r="D21" s="37"/>
      <c r="E21" s="37"/>
      <c r="F21" s="37"/>
      <c r="G21" s="37"/>
      <c r="H21" s="38"/>
      <c r="I21" s="53"/>
      <c r="J21" s="53"/>
      <c r="K21" s="53"/>
      <c r="L21" s="53"/>
      <c r="M21" s="53"/>
      <c r="N21" s="53"/>
      <c r="O21" s="14"/>
      <c r="P21" s="53"/>
      <c r="Q21" s="53"/>
      <c r="R21" s="14"/>
      <c r="S21" s="14"/>
      <c r="T21" s="74"/>
      <c r="U21" s="74"/>
      <c r="V21" s="36"/>
      <c r="W21" s="37"/>
      <c r="X21" s="37"/>
      <c r="Y21" s="37"/>
      <c r="Z21" s="37"/>
      <c r="AA21" s="37"/>
      <c r="AB21" s="37"/>
      <c r="AC21" s="37"/>
      <c r="AD21" s="37"/>
      <c r="AE21" s="38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10 B7:T8 C9:T10 B9:B21">
    <cfRule type="expression" dxfId="204" priority="16">
      <formula>$S7="○"</formula>
    </cfRule>
  </conditionalFormatting>
  <conditionalFormatting sqref="V11 C11:T11">
    <cfRule type="expression" dxfId="203" priority="15">
      <formula>$S11="○"</formula>
    </cfRule>
  </conditionalFormatting>
  <conditionalFormatting sqref="V12 C12:T12">
    <cfRule type="expression" dxfId="202" priority="14">
      <formula>$S12="○"</formula>
    </cfRule>
  </conditionalFormatting>
  <conditionalFormatting sqref="V13 C13:T13">
    <cfRule type="expression" dxfId="201" priority="13">
      <formula>$S13="○"</formula>
    </cfRule>
  </conditionalFormatting>
  <conditionalFormatting sqref="V14 C14:T14">
    <cfRule type="expression" dxfId="200" priority="12">
      <formula>$S14="○"</formula>
    </cfRule>
  </conditionalFormatting>
  <conditionalFormatting sqref="V15 C15:K15 P15:T15">
    <cfRule type="expression" dxfId="199" priority="11">
      <formula>$S15="○"</formula>
    </cfRule>
  </conditionalFormatting>
  <conditionalFormatting sqref="V16 C16:K16 P16:T16">
    <cfRule type="expression" dxfId="198" priority="10">
      <formula>$S16="○"</formula>
    </cfRule>
  </conditionalFormatting>
  <conditionalFormatting sqref="V17 C17:T17">
    <cfRule type="expression" dxfId="197" priority="9">
      <formula>$S17="○"</formula>
    </cfRule>
  </conditionalFormatting>
  <conditionalFormatting sqref="O16">
    <cfRule type="expression" dxfId="196" priority="1">
      <formula>$S16="○"</formula>
    </cfRule>
  </conditionalFormatting>
  <conditionalFormatting sqref="V18 C18:T18">
    <cfRule type="expression" dxfId="195" priority="8">
      <formula>$S18="○"</formula>
    </cfRule>
  </conditionalFormatting>
  <conditionalFormatting sqref="V19 C19:T19">
    <cfRule type="expression" dxfId="194" priority="7">
      <formula>$S19="○"</formula>
    </cfRule>
  </conditionalFormatting>
  <conditionalFormatting sqref="V20 C20:T20">
    <cfRule type="expression" dxfId="193" priority="6">
      <formula>$S20="○"</formula>
    </cfRule>
  </conditionalFormatting>
  <conditionalFormatting sqref="V21 C21:T21">
    <cfRule type="expression" dxfId="192" priority="5">
      <formula>$S21="○"</formula>
    </cfRule>
  </conditionalFormatting>
  <conditionalFormatting sqref="L16:N16">
    <cfRule type="expression" dxfId="191" priority="4">
      <formula>$S16="○"</formula>
    </cfRule>
  </conditionalFormatting>
  <conditionalFormatting sqref="L15:N15">
    <cfRule type="expression" dxfId="190" priority="3">
      <formula>$S15="○"</formula>
    </cfRule>
  </conditionalFormatting>
  <conditionalFormatting sqref="O15">
    <cfRule type="expression" dxfId="189" priority="2">
      <formula>$S15="○"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1">
      <formula1>$AH$2:$AH$7</formula1>
    </dataValidation>
  </dataValidations>
  <pageMargins left="0.7" right="0.7" top="0.75" bottom="0.75" header="0.3" footer="0.3"/>
  <pageSetup paperSize="9" scale="84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B1:AH21"/>
  <sheetViews>
    <sheetView showGridLines="0" view="pageBreakPreview" zoomScale="115" zoomScaleNormal="100" zoomScaleSheetLayoutView="115" workbookViewId="0">
      <selection activeCell="I27" sqref="I27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お気に入り情報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349</v>
      </c>
      <c r="P2" s="55"/>
      <c r="Q2" s="55"/>
      <c r="R2" s="55"/>
      <c r="S2" s="55"/>
      <c r="T2" s="59"/>
      <c r="U2" s="57" t="s">
        <v>39</v>
      </c>
      <c r="V2" s="58"/>
      <c r="W2" s="60">
        <v>42713</v>
      </c>
      <c r="X2" s="61"/>
      <c r="Y2" s="62"/>
      <c r="Z2" s="56" t="s">
        <v>0</v>
      </c>
      <c r="AA2" s="56"/>
      <c r="AB2" s="56"/>
      <c r="AC2" s="60">
        <v>42713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6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7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7" t="s">
        <v>6</v>
      </c>
      <c r="P6" s="63" t="s">
        <v>7</v>
      </c>
      <c r="Q6" s="63"/>
      <c r="R6" s="17" t="s">
        <v>8</v>
      </c>
      <c r="S6" s="17" t="s">
        <v>9</v>
      </c>
      <c r="T6" s="67" t="s">
        <v>44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8">
        <v>1</v>
      </c>
      <c r="C7" s="75" t="s">
        <v>354</v>
      </c>
      <c r="D7" s="37"/>
      <c r="E7" s="37"/>
      <c r="F7" s="37"/>
      <c r="G7" s="37"/>
      <c r="H7" s="38"/>
      <c r="I7" s="53" t="s">
        <v>98</v>
      </c>
      <c r="J7" s="53"/>
      <c r="K7" s="53"/>
      <c r="L7" s="53" t="s">
        <v>23</v>
      </c>
      <c r="M7" s="53"/>
      <c r="N7" s="53"/>
      <c r="O7" s="18">
        <v>11</v>
      </c>
      <c r="P7" s="53"/>
      <c r="Q7" s="53"/>
      <c r="R7" s="18"/>
      <c r="S7" s="18"/>
      <c r="T7" s="74"/>
      <c r="U7" s="74"/>
      <c r="V7" s="36" t="s">
        <v>105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8">
        <v>2</v>
      </c>
      <c r="C8" s="75" t="s">
        <v>350</v>
      </c>
      <c r="D8" s="37"/>
      <c r="E8" s="37"/>
      <c r="F8" s="37"/>
      <c r="G8" s="37"/>
      <c r="H8" s="38"/>
      <c r="I8" s="53" t="s">
        <v>353</v>
      </c>
      <c r="J8" s="53"/>
      <c r="K8" s="53"/>
      <c r="L8" s="53" t="s">
        <v>351</v>
      </c>
      <c r="M8" s="53"/>
      <c r="N8" s="53"/>
      <c r="O8" s="18">
        <v>11</v>
      </c>
      <c r="P8" s="53"/>
      <c r="Q8" s="53"/>
      <c r="R8" s="18"/>
      <c r="S8" s="18"/>
      <c r="T8" s="74"/>
      <c r="U8" s="74"/>
      <c r="V8" s="36" t="s">
        <v>352</v>
      </c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8"/>
      <c r="C9" s="75"/>
      <c r="D9" s="37"/>
      <c r="E9" s="37"/>
      <c r="F9" s="37"/>
      <c r="G9" s="37"/>
      <c r="H9" s="38"/>
      <c r="I9" s="53"/>
      <c r="J9" s="53"/>
      <c r="K9" s="53"/>
      <c r="L9" s="53"/>
      <c r="M9" s="53"/>
      <c r="N9" s="53"/>
      <c r="O9" s="18"/>
      <c r="P9" s="53"/>
      <c r="Q9" s="53"/>
      <c r="R9" s="18"/>
      <c r="S9" s="18"/>
      <c r="T9" s="74"/>
      <c r="U9" s="74"/>
      <c r="V9" s="36"/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8"/>
      <c r="C10" s="36"/>
      <c r="D10" s="37"/>
      <c r="E10" s="37"/>
      <c r="F10" s="37"/>
      <c r="G10" s="37"/>
      <c r="H10" s="38"/>
      <c r="I10" s="53"/>
      <c r="J10" s="53"/>
      <c r="K10" s="53"/>
      <c r="L10" s="53"/>
      <c r="M10" s="53"/>
      <c r="N10" s="53"/>
      <c r="O10" s="18"/>
      <c r="P10" s="53"/>
      <c r="Q10" s="53"/>
      <c r="R10" s="18"/>
      <c r="S10" s="18"/>
      <c r="T10" s="74"/>
      <c r="U10" s="74"/>
      <c r="V10" s="36"/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8"/>
      <c r="C11" s="36"/>
      <c r="D11" s="37"/>
      <c r="E11" s="37"/>
      <c r="F11" s="37"/>
      <c r="G11" s="37"/>
      <c r="H11" s="38"/>
      <c r="I11" s="53"/>
      <c r="J11" s="53"/>
      <c r="K11" s="53"/>
      <c r="L11" s="53"/>
      <c r="M11" s="53"/>
      <c r="N11" s="53"/>
      <c r="O11" s="18"/>
      <c r="P11" s="53"/>
      <c r="Q11" s="53"/>
      <c r="R11" s="18"/>
      <c r="S11" s="18"/>
      <c r="T11" s="74"/>
      <c r="U11" s="74"/>
      <c r="V11" s="36"/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8"/>
      <c r="C12" s="75"/>
      <c r="D12" s="37"/>
      <c r="E12" s="37"/>
      <c r="F12" s="37"/>
      <c r="G12" s="37"/>
      <c r="H12" s="38"/>
      <c r="I12" s="53"/>
      <c r="J12" s="53"/>
      <c r="K12" s="53"/>
      <c r="L12" s="53"/>
      <c r="M12" s="53"/>
      <c r="N12" s="53"/>
      <c r="O12" s="18"/>
      <c r="P12" s="53"/>
      <c r="Q12" s="53"/>
      <c r="R12" s="18"/>
      <c r="S12" s="18"/>
      <c r="T12" s="74"/>
      <c r="U12" s="74"/>
      <c r="V12" s="36"/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8"/>
      <c r="C13" s="36"/>
      <c r="D13" s="37"/>
      <c r="E13" s="37"/>
      <c r="F13" s="37"/>
      <c r="G13" s="37"/>
      <c r="H13" s="38"/>
      <c r="I13" s="53"/>
      <c r="J13" s="53"/>
      <c r="K13" s="53"/>
      <c r="L13" s="53"/>
      <c r="M13" s="53"/>
      <c r="N13" s="53"/>
      <c r="O13" s="18"/>
      <c r="P13" s="53"/>
      <c r="Q13" s="53"/>
      <c r="R13" s="18"/>
      <c r="S13" s="18"/>
      <c r="T13" s="74"/>
      <c r="U13" s="74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8"/>
      <c r="C14" s="36"/>
      <c r="D14" s="37"/>
      <c r="E14" s="37"/>
      <c r="F14" s="37"/>
      <c r="G14" s="37"/>
      <c r="H14" s="38"/>
      <c r="I14" s="36"/>
      <c r="J14" s="37"/>
      <c r="K14" s="38"/>
      <c r="L14" s="36"/>
      <c r="M14" s="37"/>
      <c r="N14" s="38"/>
      <c r="O14" s="18"/>
      <c r="P14" s="36"/>
      <c r="Q14" s="38"/>
      <c r="R14" s="18"/>
      <c r="S14" s="18"/>
      <c r="T14" s="54"/>
      <c r="U14" s="59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8"/>
      <c r="C15" s="36"/>
      <c r="D15" s="37"/>
      <c r="E15" s="37"/>
      <c r="F15" s="37"/>
      <c r="G15" s="37"/>
      <c r="H15" s="38"/>
      <c r="I15" s="36"/>
      <c r="J15" s="37"/>
      <c r="K15" s="38"/>
      <c r="L15" s="36"/>
      <c r="M15" s="37"/>
      <c r="N15" s="38"/>
      <c r="O15" s="18"/>
      <c r="P15" s="36"/>
      <c r="Q15" s="38"/>
      <c r="R15" s="18"/>
      <c r="S15" s="18"/>
      <c r="T15" s="54"/>
      <c r="U15" s="59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8"/>
      <c r="C16" s="36"/>
      <c r="D16" s="37"/>
      <c r="E16" s="37"/>
      <c r="F16" s="37"/>
      <c r="G16" s="37"/>
      <c r="H16" s="38"/>
      <c r="I16" s="36"/>
      <c r="J16" s="37"/>
      <c r="K16" s="38"/>
      <c r="L16" s="36"/>
      <c r="M16" s="37"/>
      <c r="N16" s="38"/>
      <c r="O16" s="18"/>
      <c r="P16" s="36"/>
      <c r="Q16" s="38"/>
      <c r="R16" s="18"/>
      <c r="S16" s="18"/>
      <c r="T16" s="54"/>
      <c r="U16" s="59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8"/>
      <c r="C17" s="36"/>
      <c r="D17" s="37"/>
      <c r="E17" s="37"/>
      <c r="F17" s="37"/>
      <c r="G17" s="37"/>
      <c r="H17" s="38"/>
      <c r="I17" s="36"/>
      <c r="J17" s="37"/>
      <c r="K17" s="38"/>
      <c r="L17" s="36"/>
      <c r="M17" s="37"/>
      <c r="N17" s="38"/>
      <c r="O17" s="18"/>
      <c r="P17" s="36"/>
      <c r="Q17" s="38"/>
      <c r="R17" s="18"/>
      <c r="S17" s="18"/>
      <c r="T17" s="54"/>
      <c r="U17" s="59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8"/>
      <c r="C18" s="36"/>
      <c r="D18" s="37"/>
      <c r="E18" s="37"/>
      <c r="F18" s="37"/>
      <c r="G18" s="37"/>
      <c r="H18" s="38"/>
      <c r="I18" s="53"/>
      <c r="J18" s="53"/>
      <c r="K18" s="53"/>
      <c r="L18" s="53"/>
      <c r="M18" s="53"/>
      <c r="N18" s="53"/>
      <c r="O18" s="18"/>
      <c r="P18" s="53"/>
      <c r="Q18" s="53"/>
      <c r="R18" s="18"/>
      <c r="S18" s="18"/>
      <c r="T18" s="74"/>
      <c r="U18" s="74"/>
      <c r="V18" s="36"/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8"/>
      <c r="C19" s="36"/>
      <c r="D19" s="37"/>
      <c r="E19" s="37"/>
      <c r="F19" s="37"/>
      <c r="G19" s="37"/>
      <c r="H19" s="38"/>
      <c r="I19" s="53"/>
      <c r="J19" s="53"/>
      <c r="K19" s="53"/>
      <c r="L19" s="53"/>
      <c r="M19" s="53"/>
      <c r="N19" s="53"/>
      <c r="O19" s="18"/>
      <c r="P19" s="53"/>
      <c r="Q19" s="53"/>
      <c r="R19" s="18"/>
      <c r="S19" s="18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18"/>
      <c r="C20" s="36"/>
      <c r="D20" s="37"/>
      <c r="E20" s="37"/>
      <c r="F20" s="37"/>
      <c r="G20" s="37"/>
      <c r="H20" s="38"/>
      <c r="I20" s="53"/>
      <c r="J20" s="53"/>
      <c r="K20" s="53"/>
      <c r="L20" s="53"/>
      <c r="M20" s="53"/>
      <c r="N20" s="53"/>
      <c r="O20" s="18"/>
      <c r="P20" s="53"/>
      <c r="Q20" s="53"/>
      <c r="R20" s="18"/>
      <c r="S20" s="18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  <row r="21" spans="2:31" ht="15" customHeight="1" x14ac:dyDescent="0.15">
      <c r="B21" s="18"/>
      <c r="C21" s="36"/>
      <c r="D21" s="37"/>
      <c r="E21" s="37"/>
      <c r="F21" s="37"/>
      <c r="G21" s="37"/>
      <c r="H21" s="38"/>
      <c r="I21" s="53"/>
      <c r="J21" s="53"/>
      <c r="K21" s="53"/>
      <c r="L21" s="53"/>
      <c r="M21" s="53"/>
      <c r="N21" s="53"/>
      <c r="O21" s="18"/>
      <c r="P21" s="53"/>
      <c r="Q21" s="53"/>
      <c r="R21" s="18"/>
      <c r="S21" s="18"/>
      <c r="T21" s="74"/>
      <c r="U21" s="74"/>
      <c r="V21" s="36"/>
      <c r="W21" s="37"/>
      <c r="X21" s="37"/>
      <c r="Y21" s="37"/>
      <c r="Z21" s="37"/>
      <c r="AA21" s="37"/>
      <c r="AB21" s="37"/>
      <c r="AC21" s="37"/>
      <c r="AD21" s="37"/>
      <c r="AE21" s="38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10 B7:T8 C9:T10 B9:B21">
    <cfRule type="expression" dxfId="188" priority="16">
      <formula>$S7="○"</formula>
    </cfRule>
  </conditionalFormatting>
  <conditionalFormatting sqref="V11 C11:T11">
    <cfRule type="expression" dxfId="187" priority="15">
      <formula>$S11="○"</formula>
    </cfRule>
  </conditionalFormatting>
  <conditionalFormatting sqref="V12 C12:T12">
    <cfRule type="expression" dxfId="186" priority="14">
      <formula>$S12="○"</formula>
    </cfRule>
  </conditionalFormatting>
  <conditionalFormatting sqref="V13 C13:T13">
    <cfRule type="expression" dxfId="185" priority="13">
      <formula>$S13="○"</formula>
    </cfRule>
  </conditionalFormatting>
  <conditionalFormatting sqref="V14 C14:T14">
    <cfRule type="expression" dxfId="184" priority="12">
      <formula>$S14="○"</formula>
    </cfRule>
  </conditionalFormatting>
  <conditionalFormatting sqref="V15 C15:K15 P15:T15">
    <cfRule type="expression" dxfId="183" priority="11">
      <formula>$S15="○"</formula>
    </cfRule>
  </conditionalFormatting>
  <conditionalFormatting sqref="V16 C16:K16 P16:T16">
    <cfRule type="expression" dxfId="182" priority="10">
      <formula>$S16="○"</formula>
    </cfRule>
  </conditionalFormatting>
  <conditionalFormatting sqref="V17 C17:T17">
    <cfRule type="expression" dxfId="181" priority="9">
      <formula>$S17="○"</formula>
    </cfRule>
  </conditionalFormatting>
  <conditionalFormatting sqref="O16">
    <cfRule type="expression" dxfId="180" priority="1">
      <formula>$S16="○"</formula>
    </cfRule>
  </conditionalFormatting>
  <conditionalFormatting sqref="V18 C18:T18">
    <cfRule type="expression" dxfId="179" priority="8">
      <formula>$S18="○"</formula>
    </cfRule>
  </conditionalFormatting>
  <conditionalFormatting sqref="V19 C19:T19">
    <cfRule type="expression" dxfId="178" priority="7">
      <formula>$S19="○"</formula>
    </cfRule>
  </conditionalFormatting>
  <conditionalFormatting sqref="V20 C20:T20">
    <cfRule type="expression" dxfId="177" priority="6">
      <formula>$S20="○"</formula>
    </cfRule>
  </conditionalFormatting>
  <conditionalFormatting sqref="V21 C21:T21">
    <cfRule type="expression" dxfId="176" priority="5">
      <formula>$S21="○"</formula>
    </cfRule>
  </conditionalFormatting>
  <conditionalFormatting sqref="L16:N16">
    <cfRule type="expression" dxfId="175" priority="4">
      <formula>$S16="○"</formula>
    </cfRule>
  </conditionalFormatting>
  <conditionalFormatting sqref="L15:N15">
    <cfRule type="expression" dxfId="174" priority="3">
      <formula>$S15="○"</formula>
    </cfRule>
  </conditionalFormatting>
  <conditionalFormatting sqref="O15">
    <cfRule type="expression" dxfId="173" priority="2">
      <formula>$S15="○"</formula>
    </cfRule>
  </conditionalFormatting>
  <dataValidations count="2">
    <dataValidation type="list" allowBlank="1" showInputMessage="1" showErrorMessage="1" sqref="L7:N21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H22"/>
  <sheetViews>
    <sheetView showGridLines="0" view="pageBreakPreview" zoomScale="115" zoomScaleNormal="100" zoomScaleSheetLayoutView="115" workbookViewId="0">
      <selection activeCell="C11" sqref="C11:H11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コラボ・ライブラリ共通情報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165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115</v>
      </c>
      <c r="D7" s="37"/>
      <c r="E7" s="37"/>
      <c r="F7" s="37"/>
      <c r="G7" s="37"/>
      <c r="H7" s="38"/>
      <c r="I7" s="53" t="s">
        <v>119</v>
      </c>
      <c r="J7" s="53"/>
      <c r="K7" s="53"/>
      <c r="L7" s="53" t="s">
        <v>120</v>
      </c>
      <c r="M7" s="53"/>
      <c r="N7" s="53"/>
      <c r="O7" s="14">
        <v>2</v>
      </c>
      <c r="P7" s="53">
        <v>0</v>
      </c>
      <c r="Q7" s="53"/>
      <c r="R7" s="14"/>
      <c r="S7" s="14"/>
      <c r="T7" s="74"/>
      <c r="U7" s="74"/>
      <c r="V7" s="36" t="s">
        <v>116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114</v>
      </c>
      <c r="D8" s="37"/>
      <c r="E8" s="37"/>
      <c r="F8" s="37"/>
      <c r="G8" s="37"/>
      <c r="H8" s="38"/>
      <c r="I8" s="53" t="s">
        <v>121</v>
      </c>
      <c r="J8" s="53"/>
      <c r="K8" s="53"/>
      <c r="L8" s="53" t="s">
        <v>134</v>
      </c>
      <c r="M8" s="53"/>
      <c r="N8" s="53"/>
      <c r="O8" s="14">
        <v>11</v>
      </c>
      <c r="P8" s="53"/>
      <c r="Q8" s="53"/>
      <c r="R8" s="14"/>
      <c r="S8" s="14"/>
      <c r="T8" s="74"/>
      <c r="U8" s="74"/>
      <c r="V8" s="36" t="s">
        <v>105</v>
      </c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4">
        <v>3</v>
      </c>
      <c r="C9" s="75" t="s">
        <v>113</v>
      </c>
      <c r="D9" s="37"/>
      <c r="E9" s="37"/>
      <c r="F9" s="37"/>
      <c r="G9" s="37"/>
      <c r="H9" s="38"/>
      <c r="I9" s="53" t="s">
        <v>122</v>
      </c>
      <c r="J9" s="53"/>
      <c r="K9" s="53"/>
      <c r="L9" s="53" t="s">
        <v>134</v>
      </c>
      <c r="M9" s="53"/>
      <c r="N9" s="53"/>
      <c r="O9" s="14">
        <v>11</v>
      </c>
      <c r="P9" s="53"/>
      <c r="Q9" s="53"/>
      <c r="R9" s="14"/>
      <c r="S9" s="14"/>
      <c r="T9" s="74"/>
      <c r="U9" s="74"/>
      <c r="V9" s="36" t="s">
        <v>135</v>
      </c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4">
        <v>4</v>
      </c>
      <c r="C10" s="36" t="s">
        <v>112</v>
      </c>
      <c r="D10" s="37"/>
      <c r="E10" s="37"/>
      <c r="F10" s="37"/>
      <c r="G10" s="37"/>
      <c r="H10" s="38"/>
      <c r="I10" s="53" t="s">
        <v>123</v>
      </c>
      <c r="J10" s="53"/>
      <c r="K10" s="53"/>
      <c r="L10" s="53" t="s">
        <v>102</v>
      </c>
      <c r="M10" s="53"/>
      <c r="N10" s="53"/>
      <c r="O10" s="14">
        <v>255</v>
      </c>
      <c r="P10" s="53"/>
      <c r="Q10" s="53"/>
      <c r="R10" s="14"/>
      <c r="S10" s="14"/>
      <c r="T10" s="74"/>
      <c r="U10" s="74"/>
      <c r="V10" s="36"/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4">
        <v>5</v>
      </c>
      <c r="C11" s="36" t="s">
        <v>335</v>
      </c>
      <c r="D11" s="37"/>
      <c r="E11" s="37"/>
      <c r="F11" s="37"/>
      <c r="G11" s="37"/>
      <c r="H11" s="38"/>
      <c r="I11" s="53" t="s">
        <v>124</v>
      </c>
      <c r="J11" s="53"/>
      <c r="K11" s="53"/>
      <c r="L11" s="53" t="s">
        <v>136</v>
      </c>
      <c r="M11" s="53"/>
      <c r="N11" s="53"/>
      <c r="O11" s="14">
        <v>255</v>
      </c>
      <c r="P11" s="53"/>
      <c r="Q11" s="53"/>
      <c r="R11" s="14"/>
      <c r="S11" s="14"/>
      <c r="T11" s="74"/>
      <c r="U11" s="74"/>
      <c r="V11" s="36"/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4">
        <v>6</v>
      </c>
      <c r="C12" s="75" t="s">
        <v>118</v>
      </c>
      <c r="D12" s="37"/>
      <c r="E12" s="37"/>
      <c r="F12" s="37"/>
      <c r="G12" s="37"/>
      <c r="H12" s="38"/>
      <c r="I12" s="53" t="s">
        <v>125</v>
      </c>
      <c r="J12" s="53"/>
      <c r="K12" s="53"/>
      <c r="L12" s="53" t="s">
        <v>134</v>
      </c>
      <c r="M12" s="53"/>
      <c r="N12" s="53"/>
      <c r="O12" s="14">
        <v>2</v>
      </c>
      <c r="P12" s="53">
        <v>0</v>
      </c>
      <c r="Q12" s="53"/>
      <c r="R12" s="14"/>
      <c r="S12" s="14"/>
      <c r="T12" s="74"/>
      <c r="U12" s="74"/>
      <c r="V12" s="36" t="s">
        <v>117</v>
      </c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4">
        <v>7</v>
      </c>
      <c r="C13" s="36" t="s">
        <v>111</v>
      </c>
      <c r="D13" s="37"/>
      <c r="E13" s="37"/>
      <c r="F13" s="37"/>
      <c r="G13" s="37"/>
      <c r="H13" s="38"/>
      <c r="I13" s="53" t="s">
        <v>126</v>
      </c>
      <c r="J13" s="53"/>
      <c r="K13" s="53"/>
      <c r="L13" s="53" t="s">
        <v>134</v>
      </c>
      <c r="M13" s="53"/>
      <c r="N13" s="53"/>
      <c r="O13" s="14">
        <v>11</v>
      </c>
      <c r="P13" s="53"/>
      <c r="Q13" s="53"/>
      <c r="R13" s="14"/>
      <c r="S13" s="14"/>
      <c r="T13" s="74"/>
      <c r="U13" s="74"/>
      <c r="V13" s="36" t="s">
        <v>137</v>
      </c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4">
        <v>8</v>
      </c>
      <c r="C14" s="36" t="s">
        <v>110</v>
      </c>
      <c r="D14" s="37"/>
      <c r="E14" s="37"/>
      <c r="F14" s="37"/>
      <c r="G14" s="37"/>
      <c r="H14" s="38"/>
      <c r="I14" s="36" t="s">
        <v>127</v>
      </c>
      <c r="J14" s="37"/>
      <c r="K14" s="38"/>
      <c r="L14" s="36" t="s">
        <v>136</v>
      </c>
      <c r="M14" s="37"/>
      <c r="N14" s="38"/>
      <c r="O14" s="14">
        <v>255</v>
      </c>
      <c r="P14" s="36"/>
      <c r="Q14" s="38"/>
      <c r="R14" s="14"/>
      <c r="S14" s="14"/>
      <c r="T14" s="54"/>
      <c r="U14" s="59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>
        <v>9</v>
      </c>
      <c r="C15" s="36" t="s">
        <v>109</v>
      </c>
      <c r="D15" s="37"/>
      <c r="E15" s="37"/>
      <c r="F15" s="37"/>
      <c r="G15" s="37"/>
      <c r="H15" s="38"/>
      <c r="I15" s="36" t="s">
        <v>128</v>
      </c>
      <c r="J15" s="37"/>
      <c r="K15" s="38"/>
      <c r="L15" s="36" t="s">
        <v>138</v>
      </c>
      <c r="M15" s="37"/>
      <c r="N15" s="38"/>
      <c r="O15" s="14"/>
      <c r="P15" s="36"/>
      <c r="Q15" s="38"/>
      <c r="R15" s="14"/>
      <c r="S15" s="14"/>
      <c r="T15" s="54"/>
      <c r="U15" s="59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>
        <v>10</v>
      </c>
      <c r="C16" s="36" t="s">
        <v>108</v>
      </c>
      <c r="D16" s="37"/>
      <c r="E16" s="37"/>
      <c r="F16" s="37"/>
      <c r="G16" s="37"/>
      <c r="H16" s="38"/>
      <c r="I16" s="53" t="s">
        <v>129</v>
      </c>
      <c r="J16" s="53"/>
      <c r="K16" s="53"/>
      <c r="L16" s="53" t="s">
        <v>139</v>
      </c>
      <c r="M16" s="53"/>
      <c r="N16" s="53"/>
      <c r="O16" s="14"/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>
        <v>11</v>
      </c>
      <c r="C17" s="36" t="s">
        <v>107</v>
      </c>
      <c r="D17" s="37"/>
      <c r="E17" s="37"/>
      <c r="F17" s="37"/>
      <c r="G17" s="37"/>
      <c r="H17" s="38"/>
      <c r="I17" s="53" t="s">
        <v>130</v>
      </c>
      <c r="J17" s="53"/>
      <c r="K17" s="53"/>
      <c r="L17" s="53" t="s">
        <v>138</v>
      </c>
      <c r="M17" s="53"/>
      <c r="N17" s="53"/>
      <c r="O17" s="14"/>
      <c r="P17" s="53"/>
      <c r="Q17" s="53"/>
      <c r="R17" s="14"/>
      <c r="S17" s="14"/>
      <c r="T17" s="74"/>
      <c r="U17" s="74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>
        <v>12</v>
      </c>
      <c r="C18" s="36" t="s">
        <v>106</v>
      </c>
      <c r="D18" s="37"/>
      <c r="E18" s="37"/>
      <c r="F18" s="37"/>
      <c r="G18" s="37"/>
      <c r="H18" s="38"/>
      <c r="I18" s="53" t="s">
        <v>131</v>
      </c>
      <c r="J18" s="53"/>
      <c r="K18" s="53"/>
      <c r="L18" s="53" t="s">
        <v>132</v>
      </c>
      <c r="M18" s="53"/>
      <c r="N18" s="53"/>
      <c r="O18" s="14"/>
      <c r="P18" s="53"/>
      <c r="Q18" s="53"/>
      <c r="R18" s="14"/>
      <c r="S18" s="14"/>
      <c r="T18" s="74"/>
      <c r="U18" s="74"/>
      <c r="V18" s="36" t="s">
        <v>133</v>
      </c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4">
        <v>13</v>
      </c>
      <c r="C19" s="36" t="s">
        <v>141</v>
      </c>
      <c r="D19" s="37"/>
      <c r="E19" s="37"/>
      <c r="F19" s="37"/>
      <c r="G19" s="37"/>
      <c r="H19" s="38"/>
      <c r="I19" s="53" t="s">
        <v>140</v>
      </c>
      <c r="J19" s="53"/>
      <c r="K19" s="53"/>
      <c r="L19" s="53" t="s">
        <v>142</v>
      </c>
      <c r="M19" s="53"/>
      <c r="N19" s="53"/>
      <c r="O19" s="14"/>
      <c r="P19" s="53"/>
      <c r="Q19" s="53"/>
      <c r="R19" s="14"/>
      <c r="S19" s="14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14"/>
      <c r="C20" s="36"/>
      <c r="D20" s="37"/>
      <c r="E20" s="37"/>
      <c r="F20" s="37"/>
      <c r="G20" s="37"/>
      <c r="H20" s="38"/>
      <c r="I20" s="53"/>
      <c r="J20" s="53"/>
      <c r="K20" s="53"/>
      <c r="L20" s="53"/>
      <c r="M20" s="53"/>
      <c r="N20" s="53"/>
      <c r="O20" s="14"/>
      <c r="P20" s="53"/>
      <c r="Q20" s="53"/>
      <c r="R20" s="14"/>
      <c r="S20" s="14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  <row r="21" spans="2:31" ht="15" customHeight="1" x14ac:dyDescent="0.15">
      <c r="B21" s="14"/>
      <c r="C21" s="36"/>
      <c r="D21" s="37"/>
      <c r="E21" s="37"/>
      <c r="F21" s="37"/>
      <c r="G21" s="37"/>
      <c r="H21" s="38"/>
      <c r="I21" s="53"/>
      <c r="J21" s="53"/>
      <c r="K21" s="53"/>
      <c r="L21" s="53"/>
      <c r="M21" s="53"/>
      <c r="N21" s="53"/>
      <c r="O21" s="14"/>
      <c r="P21" s="53"/>
      <c r="Q21" s="53"/>
      <c r="R21" s="14"/>
      <c r="S21" s="14"/>
      <c r="T21" s="74"/>
      <c r="U21" s="74"/>
      <c r="V21" s="36"/>
      <c r="W21" s="37"/>
      <c r="X21" s="37"/>
      <c r="Y21" s="37"/>
      <c r="Z21" s="37"/>
      <c r="AA21" s="37"/>
      <c r="AB21" s="37"/>
      <c r="AC21" s="37"/>
      <c r="AD21" s="37"/>
      <c r="AE21" s="38"/>
    </row>
    <row r="22" spans="2:31" ht="15" customHeight="1" x14ac:dyDescent="0.15">
      <c r="B22" s="14"/>
      <c r="C22" s="36"/>
      <c r="D22" s="37"/>
      <c r="E22" s="37"/>
      <c r="F22" s="37"/>
      <c r="G22" s="37"/>
      <c r="H22" s="38"/>
      <c r="I22" s="53"/>
      <c r="J22" s="53"/>
      <c r="K22" s="53"/>
      <c r="L22" s="53"/>
      <c r="M22" s="53"/>
      <c r="N22" s="53"/>
      <c r="O22" s="14"/>
      <c r="P22" s="53"/>
      <c r="Q22" s="53"/>
      <c r="R22" s="14"/>
      <c r="S22" s="14"/>
      <c r="T22" s="74"/>
      <c r="U22" s="74"/>
      <c r="V22" s="36"/>
      <c r="W22" s="37"/>
      <c r="X22" s="37"/>
      <c r="Y22" s="37"/>
      <c r="Z22" s="37"/>
      <c r="AA22" s="37"/>
      <c r="AB22" s="37"/>
      <c r="AC22" s="37"/>
      <c r="AD22" s="37"/>
      <c r="AE22" s="38"/>
    </row>
  </sheetData>
  <mergeCells count="115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V10 B7:T8 C9:T10 B9:B19">
    <cfRule type="expression" dxfId="172" priority="22">
      <formula>$S7="○"</formula>
    </cfRule>
  </conditionalFormatting>
  <conditionalFormatting sqref="V11 C11:T11">
    <cfRule type="expression" dxfId="171" priority="21">
      <formula>$S11="○"</formula>
    </cfRule>
  </conditionalFormatting>
  <conditionalFormatting sqref="V12 C12:T12">
    <cfRule type="expression" dxfId="170" priority="20">
      <formula>$S12="○"</formula>
    </cfRule>
  </conditionalFormatting>
  <conditionalFormatting sqref="V13 C13:T13">
    <cfRule type="expression" dxfId="169" priority="19">
      <formula>$S13="○"</formula>
    </cfRule>
  </conditionalFormatting>
  <conditionalFormatting sqref="V14 C14:T14">
    <cfRule type="expression" dxfId="168" priority="18">
      <formula>$S14="○"</formula>
    </cfRule>
  </conditionalFormatting>
  <conditionalFormatting sqref="V15 C15:K15 P15:T15">
    <cfRule type="expression" dxfId="167" priority="16">
      <formula>$S15="○"</formula>
    </cfRule>
  </conditionalFormatting>
  <conditionalFormatting sqref="O15">
    <cfRule type="expression" dxfId="166" priority="7">
      <formula>$S15="○"</formula>
    </cfRule>
  </conditionalFormatting>
  <conditionalFormatting sqref="V16 C16:T16">
    <cfRule type="expression" dxfId="165" priority="14">
      <formula>$S16="○"</formula>
    </cfRule>
  </conditionalFormatting>
  <conditionalFormatting sqref="V17 C17:T17">
    <cfRule type="expression" dxfId="164" priority="13">
      <formula>$S17="○"</formula>
    </cfRule>
  </conditionalFormatting>
  <conditionalFormatting sqref="V18 C18:T18">
    <cfRule type="expression" dxfId="163" priority="12">
      <formula>$S18="○"</formula>
    </cfRule>
  </conditionalFormatting>
  <conditionalFormatting sqref="V19 C19:T19">
    <cfRule type="expression" dxfId="162" priority="11">
      <formula>$S19="○"</formula>
    </cfRule>
  </conditionalFormatting>
  <conditionalFormatting sqref="L15:N15">
    <cfRule type="expression" dxfId="161" priority="10">
      <formula>$S15="○"</formula>
    </cfRule>
  </conditionalFormatting>
  <conditionalFormatting sqref="B20">
    <cfRule type="expression" dxfId="160" priority="6">
      <formula>$S20="○"</formula>
    </cfRule>
  </conditionalFormatting>
  <conditionalFormatting sqref="V20 C20:T20">
    <cfRule type="expression" dxfId="159" priority="5">
      <formula>$S20="○"</formula>
    </cfRule>
  </conditionalFormatting>
  <conditionalFormatting sqref="B21">
    <cfRule type="expression" dxfId="158" priority="4">
      <formula>$S21="○"</formula>
    </cfRule>
  </conditionalFormatting>
  <conditionalFormatting sqref="V21 C21:T21">
    <cfRule type="expression" dxfId="157" priority="3">
      <formula>$S21="○"</formula>
    </cfRule>
  </conditionalFormatting>
  <conditionalFormatting sqref="B22">
    <cfRule type="expression" dxfId="156" priority="2">
      <formula>$S22="○"</formula>
    </cfRule>
  </conditionalFormatting>
  <conditionalFormatting sqref="V22 C22:T22">
    <cfRule type="expression" dxfId="155" priority="1">
      <formula>$S22="○"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2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AH22"/>
  <sheetViews>
    <sheetView showGridLines="0" view="pageBreakPreview" topLeftCell="A2" zoomScale="115" zoomScaleNormal="100" zoomScaleSheetLayoutView="115" workbookViewId="0">
      <selection activeCell="S29" sqref="S29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追加コンテンツ情報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164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143</v>
      </c>
      <c r="D7" s="37"/>
      <c r="E7" s="37"/>
      <c r="F7" s="37"/>
      <c r="G7" s="37"/>
      <c r="H7" s="38"/>
      <c r="I7" s="53" t="s">
        <v>154</v>
      </c>
      <c r="J7" s="53"/>
      <c r="K7" s="53"/>
      <c r="L7" s="53" t="s">
        <v>104</v>
      </c>
      <c r="M7" s="53"/>
      <c r="N7" s="53"/>
      <c r="O7" s="14">
        <v>11</v>
      </c>
      <c r="P7" s="53"/>
      <c r="Q7" s="53"/>
      <c r="R7" s="14"/>
      <c r="S7" s="14"/>
      <c r="T7" s="74"/>
      <c r="U7" s="74"/>
      <c r="V7" s="36" t="s">
        <v>352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145</v>
      </c>
      <c r="D8" s="37"/>
      <c r="E8" s="37"/>
      <c r="F8" s="37"/>
      <c r="G8" s="37"/>
      <c r="H8" s="38"/>
      <c r="I8" s="53" t="s">
        <v>155</v>
      </c>
      <c r="J8" s="53"/>
      <c r="K8" s="53"/>
      <c r="L8" s="53" t="s">
        <v>134</v>
      </c>
      <c r="M8" s="53"/>
      <c r="N8" s="53"/>
      <c r="O8" s="14">
        <v>2</v>
      </c>
      <c r="P8" s="53">
        <v>0</v>
      </c>
      <c r="Q8" s="53"/>
      <c r="R8" s="14"/>
      <c r="S8" s="14"/>
      <c r="T8" s="74"/>
      <c r="U8" s="74"/>
      <c r="V8" s="36" t="s">
        <v>144</v>
      </c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4">
        <v>3</v>
      </c>
      <c r="C9" s="75" t="s">
        <v>146</v>
      </c>
      <c r="D9" s="37"/>
      <c r="E9" s="37"/>
      <c r="F9" s="37"/>
      <c r="G9" s="37"/>
      <c r="H9" s="38"/>
      <c r="I9" s="53" t="s">
        <v>156</v>
      </c>
      <c r="J9" s="53"/>
      <c r="K9" s="53"/>
      <c r="L9" s="53" t="s">
        <v>134</v>
      </c>
      <c r="M9" s="53"/>
      <c r="N9" s="53"/>
      <c r="O9" s="14">
        <v>2</v>
      </c>
      <c r="P9" s="53">
        <v>0</v>
      </c>
      <c r="Q9" s="53"/>
      <c r="R9" s="14"/>
      <c r="S9" s="14"/>
      <c r="T9" s="74"/>
      <c r="U9" s="74"/>
      <c r="V9" s="36" t="s">
        <v>147</v>
      </c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4">
        <v>4</v>
      </c>
      <c r="C10" s="36" t="s">
        <v>148</v>
      </c>
      <c r="D10" s="37"/>
      <c r="E10" s="37"/>
      <c r="F10" s="37"/>
      <c r="G10" s="37"/>
      <c r="H10" s="38"/>
      <c r="I10" s="53" t="s">
        <v>157</v>
      </c>
      <c r="J10" s="53"/>
      <c r="K10" s="53"/>
      <c r="L10" s="53" t="s">
        <v>163</v>
      </c>
      <c r="M10" s="53"/>
      <c r="N10" s="53"/>
      <c r="O10" s="14">
        <v>255</v>
      </c>
      <c r="P10" s="53"/>
      <c r="Q10" s="53"/>
      <c r="R10" s="14"/>
      <c r="S10" s="14"/>
      <c r="T10" s="74"/>
      <c r="U10" s="74"/>
      <c r="V10" s="36"/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4">
        <v>5</v>
      </c>
      <c r="C11" s="36" t="s">
        <v>149</v>
      </c>
      <c r="D11" s="37"/>
      <c r="E11" s="37"/>
      <c r="F11" s="37"/>
      <c r="G11" s="37"/>
      <c r="H11" s="38"/>
      <c r="I11" s="53" t="s">
        <v>159</v>
      </c>
      <c r="J11" s="53"/>
      <c r="K11" s="53"/>
      <c r="L11" s="53" t="s">
        <v>136</v>
      </c>
      <c r="M11" s="53"/>
      <c r="N11" s="53"/>
      <c r="O11" s="14">
        <v>255</v>
      </c>
      <c r="P11" s="53"/>
      <c r="Q11" s="53"/>
      <c r="R11" s="14"/>
      <c r="S11" s="14"/>
      <c r="T11" s="74"/>
      <c r="U11" s="74"/>
      <c r="V11" s="36"/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4">
        <v>6</v>
      </c>
      <c r="C12" s="75" t="s">
        <v>152</v>
      </c>
      <c r="D12" s="37"/>
      <c r="E12" s="37"/>
      <c r="F12" s="37"/>
      <c r="G12" s="37"/>
      <c r="H12" s="38"/>
      <c r="I12" s="53" t="s">
        <v>158</v>
      </c>
      <c r="J12" s="53"/>
      <c r="K12" s="53"/>
      <c r="L12" s="53" t="s">
        <v>134</v>
      </c>
      <c r="M12" s="53"/>
      <c r="N12" s="53"/>
      <c r="O12" s="14">
        <v>2</v>
      </c>
      <c r="P12" s="53">
        <v>0</v>
      </c>
      <c r="Q12" s="53"/>
      <c r="R12" s="14"/>
      <c r="S12" s="14"/>
      <c r="T12" s="74"/>
      <c r="U12" s="74"/>
      <c r="V12" s="36" t="s">
        <v>150</v>
      </c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4">
        <v>7</v>
      </c>
      <c r="C13" s="75" t="s">
        <v>118</v>
      </c>
      <c r="D13" s="37"/>
      <c r="E13" s="37"/>
      <c r="F13" s="37"/>
      <c r="G13" s="37"/>
      <c r="H13" s="38"/>
      <c r="I13" s="53" t="s">
        <v>160</v>
      </c>
      <c r="J13" s="53"/>
      <c r="K13" s="53"/>
      <c r="L13" s="53" t="s">
        <v>134</v>
      </c>
      <c r="M13" s="53"/>
      <c r="N13" s="53"/>
      <c r="O13" s="14">
        <v>2</v>
      </c>
      <c r="P13" s="53">
        <v>0</v>
      </c>
      <c r="Q13" s="53"/>
      <c r="R13" s="14"/>
      <c r="S13" s="14"/>
      <c r="T13" s="74"/>
      <c r="U13" s="74"/>
      <c r="V13" s="36" t="s">
        <v>151</v>
      </c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4">
        <v>8</v>
      </c>
      <c r="C14" s="36" t="s">
        <v>153</v>
      </c>
      <c r="D14" s="37"/>
      <c r="E14" s="37"/>
      <c r="F14" s="37"/>
      <c r="G14" s="37"/>
      <c r="H14" s="38"/>
      <c r="I14" s="36" t="s">
        <v>161</v>
      </c>
      <c r="J14" s="37"/>
      <c r="K14" s="38"/>
      <c r="L14" s="36" t="s">
        <v>136</v>
      </c>
      <c r="M14" s="37"/>
      <c r="N14" s="38"/>
      <c r="O14" s="14">
        <v>255</v>
      </c>
      <c r="P14" s="36"/>
      <c r="Q14" s="38"/>
      <c r="R14" s="14"/>
      <c r="S14" s="14"/>
      <c r="T14" s="54"/>
      <c r="U14" s="59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/>
      <c r="C15" s="36"/>
      <c r="D15" s="37"/>
      <c r="E15" s="37"/>
      <c r="F15" s="37"/>
      <c r="G15" s="37"/>
      <c r="H15" s="38"/>
      <c r="I15" s="36"/>
      <c r="J15" s="37"/>
      <c r="K15" s="38"/>
      <c r="L15" s="36"/>
      <c r="M15" s="37"/>
      <c r="N15" s="38"/>
      <c r="O15" s="14"/>
      <c r="P15" s="36"/>
      <c r="Q15" s="38"/>
      <c r="R15" s="14"/>
      <c r="S15" s="14"/>
      <c r="T15" s="54"/>
      <c r="U15" s="59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/>
      <c r="C16" s="36"/>
      <c r="D16" s="37"/>
      <c r="E16" s="37"/>
      <c r="F16" s="37"/>
      <c r="G16" s="37"/>
      <c r="H16" s="38"/>
      <c r="I16" s="53"/>
      <c r="J16" s="53"/>
      <c r="K16" s="53"/>
      <c r="L16" s="53"/>
      <c r="M16" s="53"/>
      <c r="N16" s="53"/>
      <c r="O16" s="14"/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/>
      <c r="C17" s="36"/>
      <c r="D17" s="37"/>
      <c r="E17" s="37"/>
      <c r="F17" s="37"/>
      <c r="G17" s="37"/>
      <c r="H17" s="38"/>
      <c r="I17" s="53"/>
      <c r="J17" s="53"/>
      <c r="K17" s="53"/>
      <c r="L17" s="53"/>
      <c r="M17" s="53"/>
      <c r="N17" s="53"/>
      <c r="O17" s="14"/>
      <c r="P17" s="53"/>
      <c r="Q17" s="53"/>
      <c r="R17" s="14"/>
      <c r="S17" s="14"/>
      <c r="T17" s="74"/>
      <c r="U17" s="74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/>
      <c r="C18" s="36"/>
      <c r="D18" s="37"/>
      <c r="E18" s="37"/>
      <c r="F18" s="37"/>
      <c r="G18" s="37"/>
      <c r="H18" s="38"/>
      <c r="I18" s="53"/>
      <c r="J18" s="53"/>
      <c r="K18" s="53"/>
      <c r="L18" s="53"/>
      <c r="M18" s="53"/>
      <c r="N18" s="53"/>
      <c r="O18" s="14"/>
      <c r="P18" s="53"/>
      <c r="Q18" s="53"/>
      <c r="R18" s="14"/>
      <c r="S18" s="14"/>
      <c r="T18" s="74"/>
      <c r="U18" s="74"/>
      <c r="V18" s="36"/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4"/>
      <c r="C19" s="36"/>
      <c r="D19" s="37"/>
      <c r="E19" s="37"/>
      <c r="F19" s="37"/>
      <c r="G19" s="37"/>
      <c r="H19" s="38"/>
      <c r="I19" s="53"/>
      <c r="J19" s="53"/>
      <c r="K19" s="53"/>
      <c r="L19" s="53"/>
      <c r="M19" s="53"/>
      <c r="N19" s="53"/>
      <c r="O19" s="14"/>
      <c r="P19" s="53"/>
      <c r="Q19" s="53"/>
      <c r="R19" s="14"/>
      <c r="S19" s="14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14"/>
      <c r="C20" s="36"/>
      <c r="D20" s="37"/>
      <c r="E20" s="37"/>
      <c r="F20" s="37"/>
      <c r="G20" s="37"/>
      <c r="H20" s="38"/>
      <c r="I20" s="53"/>
      <c r="J20" s="53"/>
      <c r="K20" s="53"/>
      <c r="L20" s="53"/>
      <c r="M20" s="53"/>
      <c r="N20" s="53"/>
      <c r="O20" s="14"/>
      <c r="P20" s="53"/>
      <c r="Q20" s="53"/>
      <c r="R20" s="14"/>
      <c r="S20" s="14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  <row r="21" spans="2:31" ht="15" customHeight="1" x14ac:dyDescent="0.15">
      <c r="B21" s="14"/>
      <c r="C21" s="36"/>
      <c r="D21" s="37"/>
      <c r="E21" s="37"/>
      <c r="F21" s="37"/>
      <c r="G21" s="37"/>
      <c r="H21" s="38"/>
      <c r="I21" s="53"/>
      <c r="J21" s="53"/>
      <c r="K21" s="53"/>
      <c r="L21" s="53"/>
      <c r="M21" s="53"/>
      <c r="N21" s="53"/>
      <c r="O21" s="14"/>
      <c r="P21" s="53"/>
      <c r="Q21" s="53"/>
      <c r="R21" s="14"/>
      <c r="S21" s="14"/>
      <c r="T21" s="74"/>
      <c r="U21" s="74"/>
      <c r="V21" s="36"/>
      <c r="W21" s="37"/>
      <c r="X21" s="37"/>
      <c r="Y21" s="37"/>
      <c r="Z21" s="37"/>
      <c r="AA21" s="37"/>
      <c r="AB21" s="37"/>
      <c r="AC21" s="37"/>
      <c r="AD21" s="37"/>
      <c r="AE21" s="38"/>
    </row>
    <row r="22" spans="2:31" ht="15" customHeight="1" x14ac:dyDescent="0.15">
      <c r="B22" s="14"/>
      <c r="C22" s="36"/>
      <c r="D22" s="37"/>
      <c r="E22" s="37"/>
      <c r="F22" s="37"/>
      <c r="G22" s="37"/>
      <c r="H22" s="38"/>
      <c r="I22" s="53"/>
      <c r="J22" s="53"/>
      <c r="K22" s="53"/>
      <c r="L22" s="53"/>
      <c r="M22" s="53"/>
      <c r="N22" s="53"/>
      <c r="O22" s="14"/>
      <c r="P22" s="53"/>
      <c r="Q22" s="53"/>
      <c r="R22" s="14"/>
      <c r="S22" s="14"/>
      <c r="T22" s="74"/>
      <c r="U22" s="74"/>
      <c r="V22" s="36"/>
      <c r="W22" s="37"/>
      <c r="X22" s="37"/>
      <c r="Y22" s="37"/>
      <c r="Z22" s="37"/>
      <c r="AA22" s="37"/>
      <c r="AB22" s="37"/>
      <c r="AC22" s="37"/>
      <c r="AD22" s="37"/>
      <c r="AE22" s="38"/>
    </row>
  </sheetData>
  <mergeCells count="115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V10 B7:T8 C9:T10 B9:B19">
    <cfRule type="expression" dxfId="154" priority="18">
      <formula>$S7="○"</formula>
    </cfRule>
  </conditionalFormatting>
  <conditionalFormatting sqref="V11 C11:T11">
    <cfRule type="expression" dxfId="153" priority="17">
      <formula>$S11="○"</formula>
    </cfRule>
  </conditionalFormatting>
  <conditionalFormatting sqref="V12 C12:T12">
    <cfRule type="expression" dxfId="152" priority="16">
      <formula>$S12="○"</formula>
    </cfRule>
  </conditionalFormatting>
  <conditionalFormatting sqref="V13 C13:T13">
    <cfRule type="expression" dxfId="151" priority="15">
      <formula>$S13="○"</formula>
    </cfRule>
  </conditionalFormatting>
  <conditionalFormatting sqref="V14 C14:T14">
    <cfRule type="expression" dxfId="150" priority="14">
      <formula>$S14="○"</formula>
    </cfRule>
  </conditionalFormatting>
  <conditionalFormatting sqref="V15 C15:K15 P15:T15">
    <cfRule type="expression" dxfId="149" priority="13">
      <formula>$S15="○"</formula>
    </cfRule>
  </conditionalFormatting>
  <conditionalFormatting sqref="O15">
    <cfRule type="expression" dxfId="148" priority="7">
      <formula>$S15="○"</formula>
    </cfRule>
  </conditionalFormatting>
  <conditionalFormatting sqref="V16 C16:T16">
    <cfRule type="expression" dxfId="147" priority="12">
      <formula>$S16="○"</formula>
    </cfRule>
  </conditionalFormatting>
  <conditionalFormatting sqref="V17 C17:T17 C18:H18">
    <cfRule type="expression" dxfId="146" priority="11">
      <formula>$S17="○"</formula>
    </cfRule>
  </conditionalFormatting>
  <conditionalFormatting sqref="V18 I18:T18">
    <cfRule type="expression" dxfId="145" priority="10">
      <formula>$S18="○"</formula>
    </cfRule>
  </conditionalFormatting>
  <conditionalFormatting sqref="V19 C19:T19">
    <cfRule type="expression" dxfId="144" priority="9">
      <formula>$S19="○"</formula>
    </cfRule>
  </conditionalFormatting>
  <conditionalFormatting sqref="L15:N15">
    <cfRule type="expression" dxfId="143" priority="8">
      <formula>$S15="○"</formula>
    </cfRule>
  </conditionalFormatting>
  <conditionalFormatting sqref="B20">
    <cfRule type="expression" dxfId="142" priority="6">
      <formula>$S20="○"</formula>
    </cfRule>
  </conditionalFormatting>
  <conditionalFormatting sqref="V20 C20:T20">
    <cfRule type="expression" dxfId="141" priority="5">
      <formula>$S20="○"</formula>
    </cfRule>
  </conditionalFormatting>
  <conditionalFormatting sqref="B21">
    <cfRule type="expression" dxfId="140" priority="4">
      <formula>$S21="○"</formula>
    </cfRule>
  </conditionalFormatting>
  <conditionalFormatting sqref="V21 C21:T21">
    <cfRule type="expression" dxfId="139" priority="3">
      <formula>$S21="○"</formula>
    </cfRule>
  </conditionalFormatting>
  <conditionalFormatting sqref="B22">
    <cfRule type="expression" dxfId="138" priority="2">
      <formula>$S22="○"</formula>
    </cfRule>
  </conditionalFormatting>
  <conditionalFormatting sqref="V22 C22:T22">
    <cfRule type="expression" dxfId="137" priority="1">
      <formula>$S22="○"</formula>
    </cfRule>
  </conditionalFormatting>
  <dataValidations count="2">
    <dataValidation type="list" allowBlank="1" showInputMessage="1" showErrorMessage="1" sqref="L7:N22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AH22"/>
  <sheetViews>
    <sheetView showGridLines="0" view="pageBreakPreview" zoomScale="115" zoomScaleNormal="100" zoomScaleSheetLayoutView="115" workbookViewId="0">
      <selection activeCell="A21" sqref="A21:XFD21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ライブラリ受注受付設定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167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143</v>
      </c>
      <c r="D7" s="37"/>
      <c r="E7" s="37"/>
      <c r="F7" s="37"/>
      <c r="G7" s="37"/>
      <c r="H7" s="38"/>
      <c r="I7" s="53" t="s">
        <v>154</v>
      </c>
      <c r="J7" s="53"/>
      <c r="K7" s="53"/>
      <c r="L7" s="53" t="s">
        <v>186</v>
      </c>
      <c r="M7" s="53"/>
      <c r="N7" s="53"/>
      <c r="O7" s="14">
        <v>11</v>
      </c>
      <c r="P7" s="53"/>
      <c r="Q7" s="53"/>
      <c r="R7" s="14"/>
      <c r="S7" s="14"/>
      <c r="T7" s="74"/>
      <c r="U7" s="74"/>
      <c r="V7" s="36" t="s">
        <v>212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112</v>
      </c>
      <c r="D8" s="37"/>
      <c r="E8" s="37"/>
      <c r="F8" s="37"/>
      <c r="G8" s="37"/>
      <c r="H8" s="38"/>
      <c r="I8" s="53" t="s">
        <v>175</v>
      </c>
      <c r="J8" s="53"/>
      <c r="K8" s="53"/>
      <c r="L8" s="53" t="s">
        <v>187</v>
      </c>
      <c r="M8" s="53"/>
      <c r="N8" s="53"/>
      <c r="O8" s="14">
        <v>255</v>
      </c>
      <c r="P8" s="53"/>
      <c r="Q8" s="53"/>
      <c r="R8" s="14"/>
      <c r="S8" s="14"/>
      <c r="T8" s="74"/>
      <c r="U8" s="74"/>
      <c r="V8" s="36"/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4">
        <v>3</v>
      </c>
      <c r="C9" s="75" t="s">
        <v>336</v>
      </c>
      <c r="D9" s="37"/>
      <c r="E9" s="37"/>
      <c r="F9" s="37"/>
      <c r="G9" s="37"/>
      <c r="H9" s="38"/>
      <c r="I9" s="53" t="s">
        <v>176</v>
      </c>
      <c r="J9" s="53"/>
      <c r="K9" s="53"/>
      <c r="L9" s="53" t="s">
        <v>136</v>
      </c>
      <c r="M9" s="53"/>
      <c r="N9" s="53"/>
      <c r="O9" s="14">
        <v>255</v>
      </c>
      <c r="P9" s="53"/>
      <c r="Q9" s="53"/>
      <c r="R9" s="14"/>
      <c r="S9" s="14"/>
      <c r="T9" s="74"/>
      <c r="U9" s="74"/>
      <c r="V9" s="36"/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4">
        <v>4</v>
      </c>
      <c r="C10" s="75" t="s">
        <v>118</v>
      </c>
      <c r="D10" s="37"/>
      <c r="E10" s="37"/>
      <c r="F10" s="37"/>
      <c r="G10" s="37"/>
      <c r="H10" s="38"/>
      <c r="I10" s="53" t="s">
        <v>160</v>
      </c>
      <c r="J10" s="53"/>
      <c r="K10" s="53"/>
      <c r="L10" s="53" t="s">
        <v>134</v>
      </c>
      <c r="M10" s="53"/>
      <c r="N10" s="53"/>
      <c r="O10" s="14">
        <v>2</v>
      </c>
      <c r="P10" s="53">
        <v>0</v>
      </c>
      <c r="Q10" s="53"/>
      <c r="R10" s="14"/>
      <c r="S10" s="14"/>
      <c r="T10" s="74"/>
      <c r="U10" s="74"/>
      <c r="V10" s="36" t="s">
        <v>472</v>
      </c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4">
        <v>5</v>
      </c>
      <c r="C11" s="36" t="s">
        <v>111</v>
      </c>
      <c r="D11" s="37"/>
      <c r="E11" s="37"/>
      <c r="F11" s="37"/>
      <c r="G11" s="37"/>
      <c r="H11" s="38"/>
      <c r="I11" s="53" t="s">
        <v>126</v>
      </c>
      <c r="J11" s="53"/>
      <c r="K11" s="53"/>
      <c r="L11" s="53" t="s">
        <v>134</v>
      </c>
      <c r="M11" s="53"/>
      <c r="N11" s="53"/>
      <c r="O11" s="14">
        <v>11</v>
      </c>
      <c r="P11" s="53"/>
      <c r="Q11" s="53"/>
      <c r="R11" s="14"/>
      <c r="S11" s="14"/>
      <c r="T11" s="74"/>
      <c r="U11" s="74"/>
      <c r="V11" s="36" t="s">
        <v>137</v>
      </c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4">
        <v>6</v>
      </c>
      <c r="C12" s="75" t="s">
        <v>174</v>
      </c>
      <c r="D12" s="37"/>
      <c r="E12" s="37"/>
      <c r="F12" s="37"/>
      <c r="G12" s="37"/>
      <c r="H12" s="38"/>
      <c r="I12" s="53" t="s">
        <v>177</v>
      </c>
      <c r="J12" s="53"/>
      <c r="K12" s="53"/>
      <c r="L12" s="53" t="s">
        <v>134</v>
      </c>
      <c r="M12" s="53"/>
      <c r="N12" s="53"/>
      <c r="O12" s="14">
        <v>10</v>
      </c>
      <c r="P12" s="53">
        <v>1</v>
      </c>
      <c r="Q12" s="53"/>
      <c r="R12" s="14"/>
      <c r="S12" s="14"/>
      <c r="T12" s="74"/>
      <c r="U12" s="74"/>
      <c r="V12" s="36"/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4">
        <v>7</v>
      </c>
      <c r="C13" s="75" t="s">
        <v>173</v>
      </c>
      <c r="D13" s="37"/>
      <c r="E13" s="37"/>
      <c r="F13" s="37"/>
      <c r="G13" s="37"/>
      <c r="H13" s="38"/>
      <c r="I13" s="53" t="s">
        <v>178</v>
      </c>
      <c r="J13" s="53"/>
      <c r="K13" s="53"/>
      <c r="L13" s="53" t="s">
        <v>188</v>
      </c>
      <c r="M13" s="53"/>
      <c r="N13" s="53"/>
      <c r="O13" s="14"/>
      <c r="P13" s="53"/>
      <c r="Q13" s="53"/>
      <c r="R13" s="14"/>
      <c r="S13" s="14"/>
      <c r="T13" s="74"/>
      <c r="U13" s="74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4">
        <v>8</v>
      </c>
      <c r="C14" s="36" t="s">
        <v>172</v>
      </c>
      <c r="D14" s="37"/>
      <c r="E14" s="37"/>
      <c r="F14" s="37"/>
      <c r="G14" s="37"/>
      <c r="H14" s="38"/>
      <c r="I14" s="36" t="s">
        <v>179</v>
      </c>
      <c r="J14" s="37"/>
      <c r="K14" s="38"/>
      <c r="L14" s="36" t="s">
        <v>189</v>
      </c>
      <c r="M14" s="37"/>
      <c r="N14" s="38"/>
      <c r="O14" s="14"/>
      <c r="P14" s="36"/>
      <c r="Q14" s="38"/>
      <c r="R14" s="14"/>
      <c r="S14" s="14"/>
      <c r="T14" s="54"/>
      <c r="U14" s="59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>
        <v>9</v>
      </c>
      <c r="C15" s="36" t="s">
        <v>171</v>
      </c>
      <c r="D15" s="37"/>
      <c r="E15" s="37"/>
      <c r="F15" s="37"/>
      <c r="G15" s="37"/>
      <c r="H15" s="38"/>
      <c r="I15" s="36" t="s">
        <v>180</v>
      </c>
      <c r="J15" s="37"/>
      <c r="K15" s="38"/>
      <c r="L15" s="36" t="s">
        <v>134</v>
      </c>
      <c r="M15" s="37"/>
      <c r="N15" s="38"/>
      <c r="O15" s="14">
        <v>10</v>
      </c>
      <c r="P15" s="36"/>
      <c r="Q15" s="38"/>
      <c r="R15" s="14"/>
      <c r="S15" s="14"/>
      <c r="T15" s="54"/>
      <c r="U15" s="59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>
        <v>10</v>
      </c>
      <c r="C16" s="36" t="s">
        <v>337</v>
      </c>
      <c r="D16" s="37"/>
      <c r="E16" s="37"/>
      <c r="F16" s="37"/>
      <c r="G16" s="37"/>
      <c r="H16" s="38"/>
      <c r="I16" s="53" t="s">
        <v>181</v>
      </c>
      <c r="J16" s="53"/>
      <c r="K16" s="53"/>
      <c r="L16" s="53" t="s">
        <v>134</v>
      </c>
      <c r="M16" s="53"/>
      <c r="N16" s="53"/>
      <c r="O16" s="14">
        <v>10</v>
      </c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>
        <v>11</v>
      </c>
      <c r="C17" s="36" t="s">
        <v>338</v>
      </c>
      <c r="D17" s="37"/>
      <c r="E17" s="37"/>
      <c r="F17" s="37"/>
      <c r="G17" s="37"/>
      <c r="H17" s="38"/>
      <c r="I17" s="53" t="s">
        <v>182</v>
      </c>
      <c r="J17" s="53"/>
      <c r="K17" s="53"/>
      <c r="L17" s="53" t="s">
        <v>134</v>
      </c>
      <c r="M17" s="53"/>
      <c r="N17" s="53"/>
      <c r="O17" s="14">
        <v>10</v>
      </c>
      <c r="P17" s="53"/>
      <c r="Q17" s="53"/>
      <c r="R17" s="14"/>
      <c r="S17" s="14"/>
      <c r="T17" s="74"/>
      <c r="U17" s="74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>
        <v>12</v>
      </c>
      <c r="C18" s="36" t="s">
        <v>170</v>
      </c>
      <c r="D18" s="37"/>
      <c r="E18" s="37"/>
      <c r="F18" s="37"/>
      <c r="G18" s="37"/>
      <c r="H18" s="38"/>
      <c r="I18" s="53" t="s">
        <v>183</v>
      </c>
      <c r="J18" s="53"/>
      <c r="K18" s="53"/>
      <c r="L18" s="53" t="s">
        <v>134</v>
      </c>
      <c r="M18" s="53"/>
      <c r="N18" s="53"/>
      <c r="O18" s="14">
        <v>2</v>
      </c>
      <c r="P18" s="53">
        <v>0</v>
      </c>
      <c r="Q18" s="53"/>
      <c r="R18" s="14"/>
      <c r="S18" s="14"/>
      <c r="T18" s="74"/>
      <c r="U18" s="74"/>
      <c r="V18" s="36"/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4">
        <v>13</v>
      </c>
      <c r="C19" s="36" t="s">
        <v>169</v>
      </c>
      <c r="D19" s="37"/>
      <c r="E19" s="37"/>
      <c r="F19" s="37"/>
      <c r="G19" s="37"/>
      <c r="H19" s="38"/>
      <c r="I19" s="53" t="s">
        <v>184</v>
      </c>
      <c r="J19" s="53"/>
      <c r="K19" s="53"/>
      <c r="L19" s="53" t="s">
        <v>134</v>
      </c>
      <c r="M19" s="53"/>
      <c r="N19" s="53"/>
      <c r="O19" s="14">
        <v>2</v>
      </c>
      <c r="P19" s="53">
        <v>0</v>
      </c>
      <c r="Q19" s="53"/>
      <c r="R19" s="14"/>
      <c r="S19" s="14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14">
        <v>14</v>
      </c>
      <c r="C20" s="36" t="s">
        <v>168</v>
      </c>
      <c r="D20" s="37"/>
      <c r="E20" s="37"/>
      <c r="F20" s="37"/>
      <c r="G20" s="37"/>
      <c r="H20" s="38"/>
      <c r="I20" s="53" t="s">
        <v>185</v>
      </c>
      <c r="J20" s="53"/>
      <c r="K20" s="53"/>
      <c r="L20" s="53" t="s">
        <v>190</v>
      </c>
      <c r="M20" s="53"/>
      <c r="N20" s="53"/>
      <c r="O20" s="14"/>
      <c r="P20" s="53"/>
      <c r="Q20" s="53"/>
      <c r="R20" s="14"/>
      <c r="S20" s="14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  <row r="21" spans="2:31" ht="15" customHeight="1" x14ac:dyDescent="0.15">
      <c r="B21" s="14">
        <v>15</v>
      </c>
      <c r="C21" s="36" t="s">
        <v>473</v>
      </c>
      <c r="D21" s="37"/>
      <c r="E21" s="37"/>
      <c r="F21" s="37"/>
      <c r="G21" s="37"/>
      <c r="H21" s="38"/>
      <c r="I21" s="53" t="s">
        <v>474</v>
      </c>
      <c r="J21" s="53"/>
      <c r="K21" s="53"/>
      <c r="L21" s="53" t="s">
        <v>475</v>
      </c>
      <c r="M21" s="53"/>
      <c r="N21" s="53"/>
      <c r="O21" s="14">
        <v>2</v>
      </c>
      <c r="P21" s="53">
        <v>0</v>
      </c>
      <c r="Q21" s="53"/>
      <c r="R21" s="14"/>
      <c r="S21" s="14"/>
      <c r="T21" s="74"/>
      <c r="U21" s="74"/>
      <c r="V21" s="36" t="s">
        <v>476</v>
      </c>
      <c r="W21" s="37"/>
      <c r="X21" s="37"/>
      <c r="Y21" s="37"/>
      <c r="Z21" s="37"/>
      <c r="AA21" s="37"/>
      <c r="AB21" s="37"/>
      <c r="AC21" s="37"/>
      <c r="AD21" s="37"/>
      <c r="AE21" s="38"/>
    </row>
    <row r="22" spans="2:31" ht="15" customHeight="1" x14ac:dyDescent="0.15">
      <c r="B22" s="14"/>
      <c r="C22" s="36"/>
      <c r="D22" s="37"/>
      <c r="E22" s="37"/>
      <c r="F22" s="37"/>
      <c r="G22" s="37"/>
      <c r="H22" s="38"/>
      <c r="I22" s="53"/>
      <c r="J22" s="53"/>
      <c r="K22" s="53"/>
      <c r="L22" s="53"/>
      <c r="M22" s="53"/>
      <c r="N22" s="53"/>
      <c r="O22" s="14"/>
      <c r="P22" s="53"/>
      <c r="Q22" s="53"/>
      <c r="R22" s="14"/>
      <c r="S22" s="14"/>
      <c r="T22" s="74"/>
      <c r="U22" s="74"/>
      <c r="V22" s="36"/>
      <c r="W22" s="37"/>
      <c r="X22" s="37"/>
      <c r="Y22" s="37"/>
      <c r="Z22" s="37"/>
      <c r="AA22" s="37"/>
      <c r="AB22" s="37"/>
      <c r="AC22" s="37"/>
      <c r="AD22" s="37"/>
      <c r="AE22" s="38"/>
    </row>
  </sheetData>
  <mergeCells count="115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V10 B7:T8 C9:T10 B9:B20">
    <cfRule type="expression" dxfId="136" priority="18">
      <formula>$S7="○"</formula>
    </cfRule>
  </conditionalFormatting>
  <conditionalFormatting sqref="V11 C11:T11">
    <cfRule type="expression" dxfId="135" priority="17">
      <formula>$S11="○"</formula>
    </cfRule>
  </conditionalFormatting>
  <conditionalFormatting sqref="V12 C12:T12">
    <cfRule type="expression" dxfId="134" priority="16">
      <formula>$S12="○"</formula>
    </cfRule>
  </conditionalFormatting>
  <conditionalFormatting sqref="V13 C13:T13">
    <cfRule type="expression" dxfId="133" priority="15">
      <formula>$S13="○"</formula>
    </cfRule>
  </conditionalFormatting>
  <conditionalFormatting sqref="V14 C14:T14">
    <cfRule type="expression" dxfId="132" priority="14">
      <formula>$S14="○"</formula>
    </cfRule>
  </conditionalFormatting>
  <conditionalFormatting sqref="V15 C15:K15 P15:T15">
    <cfRule type="expression" dxfId="131" priority="13">
      <formula>$S15="○"</formula>
    </cfRule>
  </conditionalFormatting>
  <conditionalFormatting sqref="O15">
    <cfRule type="expression" dxfId="130" priority="7">
      <formula>$S15="○"</formula>
    </cfRule>
  </conditionalFormatting>
  <conditionalFormatting sqref="V16 C16:T16">
    <cfRule type="expression" dxfId="129" priority="12">
      <formula>$S16="○"</formula>
    </cfRule>
  </conditionalFormatting>
  <conditionalFormatting sqref="V17 C17:T17 C18:H18">
    <cfRule type="expression" dxfId="128" priority="11">
      <formula>$S17="○"</formula>
    </cfRule>
  </conditionalFormatting>
  <conditionalFormatting sqref="V18 I18:T18">
    <cfRule type="expression" dxfId="127" priority="10">
      <formula>$S18="○"</formula>
    </cfRule>
  </conditionalFormatting>
  <conditionalFormatting sqref="V19 C19:T19">
    <cfRule type="expression" dxfId="126" priority="9">
      <formula>$S19="○"</formula>
    </cfRule>
  </conditionalFormatting>
  <conditionalFormatting sqref="L15:N15">
    <cfRule type="expression" dxfId="125" priority="8">
      <formula>$S15="○"</formula>
    </cfRule>
  </conditionalFormatting>
  <conditionalFormatting sqref="V20 C20:T20">
    <cfRule type="expression" dxfId="124" priority="5">
      <formula>$S20="○"</formula>
    </cfRule>
  </conditionalFormatting>
  <conditionalFormatting sqref="B21">
    <cfRule type="expression" dxfId="123" priority="4">
      <formula>$S21="○"</formula>
    </cfRule>
  </conditionalFormatting>
  <conditionalFormatting sqref="V21 C21:T21">
    <cfRule type="expression" dxfId="122" priority="3">
      <formula>$S21="○"</formula>
    </cfRule>
  </conditionalFormatting>
  <conditionalFormatting sqref="B22">
    <cfRule type="expression" dxfId="121" priority="2">
      <formula>$S22="○"</formula>
    </cfRule>
  </conditionalFormatting>
  <conditionalFormatting sqref="V22 C22:T22">
    <cfRule type="expression" dxfId="120" priority="1">
      <formula>$S22="○"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2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AH20"/>
  <sheetViews>
    <sheetView showGridLines="0" view="pageBreakPreview" zoomScale="115" zoomScaleNormal="100" zoomScaleSheetLayoutView="115" workbookViewId="0">
      <selection activeCell="I23" sqref="I23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コラボ参加表明受付設定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191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143</v>
      </c>
      <c r="D7" s="37"/>
      <c r="E7" s="37"/>
      <c r="F7" s="37"/>
      <c r="G7" s="37"/>
      <c r="H7" s="38"/>
      <c r="I7" s="53" t="s">
        <v>154</v>
      </c>
      <c r="J7" s="53"/>
      <c r="K7" s="53"/>
      <c r="L7" s="53" t="s">
        <v>211</v>
      </c>
      <c r="M7" s="53"/>
      <c r="N7" s="53"/>
      <c r="O7" s="14">
        <v>11</v>
      </c>
      <c r="P7" s="53"/>
      <c r="Q7" s="53"/>
      <c r="R7" s="14"/>
      <c r="S7" s="14"/>
      <c r="T7" s="74"/>
      <c r="U7" s="74"/>
      <c r="V7" s="36" t="s">
        <v>162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192</v>
      </c>
      <c r="D8" s="37"/>
      <c r="E8" s="37"/>
      <c r="F8" s="37"/>
      <c r="G8" s="37"/>
      <c r="H8" s="38"/>
      <c r="I8" s="53" t="s">
        <v>202</v>
      </c>
      <c r="J8" s="53"/>
      <c r="K8" s="53"/>
      <c r="L8" s="53" t="s">
        <v>213</v>
      </c>
      <c r="M8" s="53"/>
      <c r="N8" s="53"/>
      <c r="O8" s="14">
        <v>255</v>
      </c>
      <c r="P8" s="53"/>
      <c r="Q8" s="53"/>
      <c r="R8" s="14"/>
      <c r="S8" s="14"/>
      <c r="T8" s="74"/>
      <c r="U8" s="74"/>
      <c r="V8" s="36"/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4">
        <v>3</v>
      </c>
      <c r="C9" s="75" t="s">
        <v>193</v>
      </c>
      <c r="D9" s="37"/>
      <c r="E9" s="37"/>
      <c r="F9" s="37"/>
      <c r="G9" s="37"/>
      <c r="H9" s="38"/>
      <c r="I9" s="53" t="s">
        <v>203</v>
      </c>
      <c r="J9" s="53"/>
      <c r="K9" s="53"/>
      <c r="L9" s="53" t="s">
        <v>136</v>
      </c>
      <c r="M9" s="53"/>
      <c r="N9" s="53"/>
      <c r="O9" s="14">
        <v>255</v>
      </c>
      <c r="P9" s="53"/>
      <c r="Q9" s="53"/>
      <c r="R9" s="14"/>
      <c r="S9" s="14"/>
      <c r="T9" s="74"/>
      <c r="U9" s="74"/>
      <c r="V9" s="36"/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4">
        <v>4</v>
      </c>
      <c r="C10" s="75" t="s">
        <v>118</v>
      </c>
      <c r="D10" s="37"/>
      <c r="E10" s="37"/>
      <c r="F10" s="37"/>
      <c r="G10" s="37"/>
      <c r="H10" s="38"/>
      <c r="I10" s="53" t="s">
        <v>160</v>
      </c>
      <c r="J10" s="53"/>
      <c r="K10" s="53"/>
      <c r="L10" s="53" t="s">
        <v>134</v>
      </c>
      <c r="M10" s="53"/>
      <c r="N10" s="53"/>
      <c r="O10" s="14">
        <v>2</v>
      </c>
      <c r="P10" s="53">
        <v>0</v>
      </c>
      <c r="Q10" s="53"/>
      <c r="R10" s="14"/>
      <c r="S10" s="14"/>
      <c r="T10" s="74"/>
      <c r="U10" s="74"/>
      <c r="V10" s="36" t="s">
        <v>472</v>
      </c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4">
        <v>5</v>
      </c>
      <c r="C11" s="36" t="s">
        <v>194</v>
      </c>
      <c r="D11" s="37"/>
      <c r="E11" s="37"/>
      <c r="F11" s="37"/>
      <c r="G11" s="37"/>
      <c r="H11" s="38"/>
      <c r="I11" s="53" t="s">
        <v>126</v>
      </c>
      <c r="J11" s="53"/>
      <c r="K11" s="53"/>
      <c r="L11" s="53" t="s">
        <v>134</v>
      </c>
      <c r="M11" s="53"/>
      <c r="N11" s="53"/>
      <c r="O11" s="14">
        <v>11</v>
      </c>
      <c r="P11" s="53"/>
      <c r="Q11" s="53"/>
      <c r="R11" s="14"/>
      <c r="S11" s="14"/>
      <c r="T11" s="74"/>
      <c r="U11" s="74"/>
      <c r="V11" s="36" t="s">
        <v>214</v>
      </c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4">
        <v>6</v>
      </c>
      <c r="C12" s="75" t="s">
        <v>195</v>
      </c>
      <c r="D12" s="37"/>
      <c r="E12" s="37"/>
      <c r="F12" s="37"/>
      <c r="G12" s="37"/>
      <c r="H12" s="38"/>
      <c r="I12" s="53" t="s">
        <v>204</v>
      </c>
      <c r="J12" s="53"/>
      <c r="K12" s="53"/>
      <c r="L12" s="53" t="s">
        <v>134</v>
      </c>
      <c r="M12" s="53"/>
      <c r="N12" s="53"/>
      <c r="O12" s="14">
        <v>10</v>
      </c>
      <c r="P12" s="53"/>
      <c r="Q12" s="53"/>
      <c r="R12" s="14"/>
      <c r="S12" s="14"/>
      <c r="T12" s="74"/>
      <c r="U12" s="74"/>
      <c r="V12" s="36"/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4">
        <v>7</v>
      </c>
      <c r="C13" s="75" t="s">
        <v>196</v>
      </c>
      <c r="D13" s="37"/>
      <c r="E13" s="37"/>
      <c r="F13" s="37"/>
      <c r="G13" s="37"/>
      <c r="H13" s="38"/>
      <c r="I13" s="53" t="s">
        <v>205</v>
      </c>
      <c r="J13" s="53"/>
      <c r="K13" s="53"/>
      <c r="L13" s="53" t="s">
        <v>215</v>
      </c>
      <c r="M13" s="53"/>
      <c r="N13" s="53"/>
      <c r="O13" s="14"/>
      <c r="P13" s="53"/>
      <c r="Q13" s="53"/>
      <c r="R13" s="14"/>
      <c r="S13" s="14"/>
      <c r="T13" s="74"/>
      <c r="U13" s="74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4">
        <v>8</v>
      </c>
      <c r="C14" s="36" t="s">
        <v>197</v>
      </c>
      <c r="D14" s="37"/>
      <c r="E14" s="37"/>
      <c r="F14" s="37"/>
      <c r="G14" s="37"/>
      <c r="H14" s="38"/>
      <c r="I14" s="36" t="s">
        <v>206</v>
      </c>
      <c r="J14" s="37"/>
      <c r="K14" s="38"/>
      <c r="L14" s="36" t="s">
        <v>216</v>
      </c>
      <c r="M14" s="37"/>
      <c r="N14" s="38"/>
      <c r="O14" s="14"/>
      <c r="P14" s="36"/>
      <c r="Q14" s="38"/>
      <c r="R14" s="14"/>
      <c r="S14" s="14"/>
      <c r="T14" s="54"/>
      <c r="U14" s="59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>
        <v>9</v>
      </c>
      <c r="C15" s="36" t="s">
        <v>198</v>
      </c>
      <c r="D15" s="37"/>
      <c r="E15" s="37"/>
      <c r="F15" s="37"/>
      <c r="G15" s="37"/>
      <c r="H15" s="38"/>
      <c r="I15" s="53" t="s">
        <v>207</v>
      </c>
      <c r="J15" s="53"/>
      <c r="K15" s="53"/>
      <c r="L15" s="53" t="s">
        <v>134</v>
      </c>
      <c r="M15" s="53"/>
      <c r="N15" s="53"/>
      <c r="O15" s="14">
        <v>10</v>
      </c>
      <c r="P15" s="53"/>
      <c r="Q15" s="53"/>
      <c r="R15" s="14"/>
      <c r="S15" s="14"/>
      <c r="T15" s="74"/>
      <c r="U15" s="74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>
        <v>10</v>
      </c>
      <c r="C16" s="36" t="s">
        <v>199</v>
      </c>
      <c r="D16" s="37"/>
      <c r="E16" s="37"/>
      <c r="F16" s="37"/>
      <c r="G16" s="37"/>
      <c r="H16" s="38"/>
      <c r="I16" s="53" t="s">
        <v>208</v>
      </c>
      <c r="J16" s="53"/>
      <c r="K16" s="53"/>
      <c r="L16" s="53" t="s">
        <v>134</v>
      </c>
      <c r="M16" s="53"/>
      <c r="N16" s="53"/>
      <c r="O16" s="14">
        <v>10</v>
      </c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>
        <v>11</v>
      </c>
      <c r="C17" s="36" t="s">
        <v>200</v>
      </c>
      <c r="D17" s="37"/>
      <c r="E17" s="37"/>
      <c r="F17" s="37"/>
      <c r="G17" s="37"/>
      <c r="H17" s="38"/>
      <c r="I17" s="53" t="s">
        <v>209</v>
      </c>
      <c r="J17" s="53"/>
      <c r="K17" s="53"/>
      <c r="L17" s="53" t="s">
        <v>134</v>
      </c>
      <c r="M17" s="53"/>
      <c r="N17" s="53"/>
      <c r="O17" s="14">
        <v>2</v>
      </c>
      <c r="P17" s="53">
        <v>0</v>
      </c>
      <c r="Q17" s="53"/>
      <c r="R17" s="14"/>
      <c r="S17" s="14"/>
      <c r="T17" s="74"/>
      <c r="U17" s="74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>
        <v>12</v>
      </c>
      <c r="C18" s="36" t="s">
        <v>169</v>
      </c>
      <c r="D18" s="37"/>
      <c r="E18" s="37"/>
      <c r="F18" s="37"/>
      <c r="G18" s="37"/>
      <c r="H18" s="38"/>
      <c r="I18" s="53" t="s">
        <v>184</v>
      </c>
      <c r="J18" s="53"/>
      <c r="K18" s="53"/>
      <c r="L18" s="53" t="s">
        <v>134</v>
      </c>
      <c r="M18" s="53"/>
      <c r="N18" s="53"/>
      <c r="O18" s="14">
        <v>2</v>
      </c>
      <c r="P18" s="53">
        <v>0</v>
      </c>
      <c r="Q18" s="53"/>
      <c r="R18" s="14"/>
      <c r="S18" s="14"/>
      <c r="T18" s="74"/>
      <c r="U18" s="74"/>
      <c r="V18" s="36"/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4">
        <v>13</v>
      </c>
      <c r="C19" s="36" t="s">
        <v>201</v>
      </c>
      <c r="D19" s="37"/>
      <c r="E19" s="37"/>
      <c r="F19" s="37"/>
      <c r="G19" s="37"/>
      <c r="H19" s="38"/>
      <c r="I19" s="53" t="s">
        <v>210</v>
      </c>
      <c r="J19" s="53"/>
      <c r="K19" s="53"/>
      <c r="L19" s="53" t="s">
        <v>217</v>
      </c>
      <c r="M19" s="53"/>
      <c r="N19" s="53"/>
      <c r="O19" s="14"/>
      <c r="P19" s="53"/>
      <c r="Q19" s="53"/>
      <c r="R19" s="14"/>
      <c r="S19" s="14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35">
        <v>14</v>
      </c>
      <c r="C20" s="36" t="s">
        <v>473</v>
      </c>
      <c r="D20" s="37"/>
      <c r="E20" s="37"/>
      <c r="F20" s="37"/>
      <c r="G20" s="37"/>
      <c r="H20" s="38"/>
      <c r="I20" s="53" t="s">
        <v>477</v>
      </c>
      <c r="J20" s="53"/>
      <c r="K20" s="53"/>
      <c r="L20" s="53" t="s">
        <v>475</v>
      </c>
      <c r="M20" s="53"/>
      <c r="N20" s="53"/>
      <c r="O20" s="35">
        <v>2</v>
      </c>
      <c r="P20" s="53">
        <v>0</v>
      </c>
      <c r="Q20" s="53"/>
      <c r="R20" s="35"/>
      <c r="S20" s="35"/>
      <c r="T20" s="74"/>
      <c r="U20" s="74"/>
      <c r="V20" s="36" t="s">
        <v>476</v>
      </c>
      <c r="W20" s="37"/>
      <c r="X20" s="37"/>
      <c r="Y20" s="37"/>
      <c r="Z20" s="37"/>
      <c r="AA20" s="37"/>
      <c r="AB20" s="37"/>
      <c r="AC20" s="37"/>
      <c r="AD20" s="37"/>
      <c r="AE20" s="38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</mergeCells>
  <phoneticPr fontId="1"/>
  <conditionalFormatting sqref="V10 B7:T8 C9:T10 B9:B20">
    <cfRule type="expression" dxfId="119" priority="19">
      <formula>$S7="○"</formula>
    </cfRule>
  </conditionalFormatting>
  <conditionalFormatting sqref="V11 C11:T11">
    <cfRule type="expression" dxfId="118" priority="18">
      <formula>$S11="○"</formula>
    </cfRule>
  </conditionalFormatting>
  <conditionalFormatting sqref="V12 C12:T12">
    <cfRule type="expression" dxfId="117" priority="17">
      <formula>$S12="○"</formula>
    </cfRule>
  </conditionalFormatting>
  <conditionalFormatting sqref="V13 C13:T13">
    <cfRule type="expression" dxfId="116" priority="16">
      <formula>$S13="○"</formula>
    </cfRule>
  </conditionalFormatting>
  <conditionalFormatting sqref="V14 C14:T14">
    <cfRule type="expression" dxfId="115" priority="15">
      <formula>$S14="○"</formula>
    </cfRule>
  </conditionalFormatting>
  <conditionalFormatting sqref="V15 C15:T15 C16:H16">
    <cfRule type="expression" dxfId="114" priority="12">
      <formula>$S15="○"</formula>
    </cfRule>
  </conditionalFormatting>
  <conditionalFormatting sqref="V16 I16:T16">
    <cfRule type="expression" dxfId="113" priority="11">
      <formula>$S16="○"</formula>
    </cfRule>
  </conditionalFormatting>
  <conditionalFormatting sqref="V17 C17:T17">
    <cfRule type="expression" dxfId="112" priority="10">
      <formula>$S17="○"</formula>
    </cfRule>
  </conditionalFormatting>
  <conditionalFormatting sqref="V18 C18:T18">
    <cfRule type="expression" dxfId="111" priority="7">
      <formula>$S18="○"</formula>
    </cfRule>
  </conditionalFormatting>
  <conditionalFormatting sqref="V19 C19:T19">
    <cfRule type="expression" dxfId="110" priority="5">
      <formula>$S19="○"</formula>
    </cfRule>
  </conditionalFormatting>
  <conditionalFormatting sqref="V20 C20:T20">
    <cfRule type="expression" dxfId="2" priority="1">
      <formula>$S20="○"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0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B1:AH16"/>
  <sheetViews>
    <sheetView showGridLines="0" view="pageBreakPreview" zoomScale="115" zoomScaleNormal="100" zoomScaleSheetLayoutView="115" workbookViewId="0">
      <selection activeCell="E24" sqref="E24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コラボ参加表明情報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339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225</v>
      </c>
      <c r="D7" s="37"/>
      <c r="E7" s="37"/>
      <c r="F7" s="37"/>
      <c r="G7" s="37"/>
      <c r="H7" s="38"/>
      <c r="I7" s="53" t="s">
        <v>226</v>
      </c>
      <c r="J7" s="53"/>
      <c r="K7" s="53"/>
      <c r="L7" s="53" t="s">
        <v>134</v>
      </c>
      <c r="M7" s="53"/>
      <c r="N7" s="53"/>
      <c r="O7" s="14">
        <v>11</v>
      </c>
      <c r="P7" s="53"/>
      <c r="Q7" s="53"/>
      <c r="R7" s="14"/>
      <c r="S7" s="14"/>
      <c r="T7" s="74"/>
      <c r="U7" s="74"/>
      <c r="V7" s="36" t="s">
        <v>236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224</v>
      </c>
      <c r="D8" s="37"/>
      <c r="E8" s="37"/>
      <c r="F8" s="37"/>
      <c r="G8" s="37"/>
      <c r="H8" s="38"/>
      <c r="I8" s="53" t="s">
        <v>227</v>
      </c>
      <c r="J8" s="53"/>
      <c r="K8" s="53"/>
      <c r="L8" s="53" t="s">
        <v>134</v>
      </c>
      <c r="M8" s="53"/>
      <c r="N8" s="53"/>
      <c r="O8" s="14">
        <v>11</v>
      </c>
      <c r="P8" s="53"/>
      <c r="Q8" s="53"/>
      <c r="R8" s="14"/>
      <c r="S8" s="14"/>
      <c r="T8" s="74"/>
      <c r="U8" s="74"/>
      <c r="V8" s="36" t="s">
        <v>237</v>
      </c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4">
        <v>3</v>
      </c>
      <c r="C9" s="75" t="s">
        <v>223</v>
      </c>
      <c r="D9" s="37"/>
      <c r="E9" s="37"/>
      <c r="F9" s="37"/>
      <c r="G9" s="37"/>
      <c r="H9" s="38"/>
      <c r="I9" s="53" t="s">
        <v>228</v>
      </c>
      <c r="J9" s="53"/>
      <c r="K9" s="53"/>
      <c r="L9" s="53" t="s">
        <v>234</v>
      </c>
      <c r="M9" s="53"/>
      <c r="N9" s="53"/>
      <c r="O9" s="14">
        <v>255</v>
      </c>
      <c r="P9" s="53"/>
      <c r="Q9" s="53"/>
      <c r="R9" s="14"/>
      <c r="S9" s="14"/>
      <c r="T9" s="74"/>
      <c r="U9" s="74"/>
      <c r="V9" s="36"/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28">
        <v>4</v>
      </c>
      <c r="C10" s="75" t="s">
        <v>222</v>
      </c>
      <c r="D10" s="37"/>
      <c r="E10" s="37"/>
      <c r="F10" s="37"/>
      <c r="G10" s="37"/>
      <c r="H10" s="38"/>
      <c r="I10" s="53" t="s">
        <v>229</v>
      </c>
      <c r="J10" s="53"/>
      <c r="K10" s="53"/>
      <c r="L10" s="53" t="s">
        <v>136</v>
      </c>
      <c r="M10" s="53"/>
      <c r="N10" s="53"/>
      <c r="O10" s="14">
        <v>255</v>
      </c>
      <c r="P10" s="53"/>
      <c r="Q10" s="53"/>
      <c r="R10" s="14"/>
      <c r="S10" s="14"/>
      <c r="T10" s="74"/>
      <c r="U10" s="74"/>
      <c r="V10" s="36"/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28">
        <v>5</v>
      </c>
      <c r="C11" s="36" t="s">
        <v>221</v>
      </c>
      <c r="D11" s="37"/>
      <c r="E11" s="37"/>
      <c r="F11" s="37"/>
      <c r="G11" s="37"/>
      <c r="H11" s="38"/>
      <c r="I11" s="53" t="s">
        <v>230</v>
      </c>
      <c r="J11" s="53"/>
      <c r="K11" s="53"/>
      <c r="L11" s="53" t="s">
        <v>235</v>
      </c>
      <c r="M11" s="53"/>
      <c r="N11" s="53"/>
      <c r="O11" s="14"/>
      <c r="P11" s="53"/>
      <c r="Q11" s="53"/>
      <c r="R11" s="14"/>
      <c r="S11" s="14"/>
      <c r="T11" s="74"/>
      <c r="U11" s="74"/>
      <c r="V11" s="36"/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28">
        <v>6</v>
      </c>
      <c r="C12" s="75" t="s">
        <v>220</v>
      </c>
      <c r="D12" s="37"/>
      <c r="E12" s="37"/>
      <c r="F12" s="37"/>
      <c r="G12" s="37"/>
      <c r="H12" s="38"/>
      <c r="I12" s="53" t="s">
        <v>231</v>
      </c>
      <c r="J12" s="53"/>
      <c r="K12" s="53"/>
      <c r="L12" s="53" t="s">
        <v>142</v>
      </c>
      <c r="M12" s="53"/>
      <c r="N12" s="53"/>
      <c r="O12" s="14"/>
      <c r="P12" s="53"/>
      <c r="Q12" s="53"/>
      <c r="R12" s="14"/>
      <c r="S12" s="14"/>
      <c r="T12" s="74"/>
      <c r="U12" s="74"/>
      <c r="V12" s="36"/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28">
        <v>7</v>
      </c>
      <c r="C13" s="75" t="s">
        <v>219</v>
      </c>
      <c r="D13" s="37"/>
      <c r="E13" s="37"/>
      <c r="F13" s="37"/>
      <c r="G13" s="37"/>
      <c r="H13" s="38"/>
      <c r="I13" s="53" t="s">
        <v>232</v>
      </c>
      <c r="J13" s="53"/>
      <c r="K13" s="53"/>
      <c r="L13" s="53" t="s">
        <v>142</v>
      </c>
      <c r="M13" s="53"/>
      <c r="N13" s="53"/>
      <c r="O13" s="14"/>
      <c r="P13" s="53"/>
      <c r="Q13" s="53"/>
      <c r="R13" s="14"/>
      <c r="S13" s="14"/>
      <c r="T13" s="74"/>
      <c r="U13" s="74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28">
        <v>8</v>
      </c>
      <c r="C14" s="36" t="s">
        <v>218</v>
      </c>
      <c r="D14" s="37"/>
      <c r="E14" s="37"/>
      <c r="F14" s="37"/>
      <c r="G14" s="37"/>
      <c r="H14" s="38"/>
      <c r="I14" s="53" t="s">
        <v>233</v>
      </c>
      <c r="J14" s="53"/>
      <c r="K14" s="53"/>
      <c r="L14" s="53" t="s">
        <v>134</v>
      </c>
      <c r="M14" s="53"/>
      <c r="N14" s="53"/>
      <c r="O14" s="14">
        <v>10</v>
      </c>
      <c r="P14" s="53"/>
      <c r="Q14" s="53"/>
      <c r="R14" s="14"/>
      <c r="S14" s="14"/>
      <c r="T14" s="74"/>
      <c r="U14" s="74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/>
      <c r="C15" s="36"/>
      <c r="D15" s="37"/>
      <c r="E15" s="37"/>
      <c r="F15" s="37"/>
      <c r="G15" s="37"/>
      <c r="H15" s="38"/>
      <c r="I15" s="53"/>
      <c r="J15" s="53"/>
      <c r="K15" s="53"/>
      <c r="L15" s="53"/>
      <c r="M15" s="53"/>
      <c r="N15" s="53"/>
      <c r="O15" s="14"/>
      <c r="P15" s="53"/>
      <c r="Q15" s="53"/>
      <c r="R15" s="14"/>
      <c r="S15" s="14"/>
      <c r="T15" s="74"/>
      <c r="U15" s="74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/>
      <c r="C16" s="36"/>
      <c r="D16" s="37"/>
      <c r="E16" s="37"/>
      <c r="F16" s="37"/>
      <c r="G16" s="37"/>
      <c r="H16" s="38"/>
      <c r="I16" s="53"/>
      <c r="J16" s="53"/>
      <c r="K16" s="53"/>
      <c r="L16" s="53"/>
      <c r="M16" s="53"/>
      <c r="N16" s="53"/>
      <c r="O16" s="14"/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</sheetData>
  <mergeCells count="7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V8:AE8"/>
    <mergeCell ref="C7:H7"/>
    <mergeCell ref="I7:K7"/>
    <mergeCell ref="L7:N7"/>
    <mergeCell ref="P7:Q7"/>
    <mergeCell ref="T7:U7"/>
    <mergeCell ref="V7:AE7"/>
    <mergeCell ref="C8:H8"/>
    <mergeCell ref="I8:K8"/>
    <mergeCell ref="L8:N8"/>
    <mergeCell ref="P8:Q8"/>
    <mergeCell ref="T8:U8"/>
    <mergeCell ref="V10:AE10"/>
    <mergeCell ref="C9:H9"/>
    <mergeCell ref="I9:K9"/>
    <mergeCell ref="L9:N9"/>
    <mergeCell ref="P9:Q9"/>
    <mergeCell ref="T9:U9"/>
    <mergeCell ref="V9:AE9"/>
    <mergeCell ref="C10:H10"/>
    <mergeCell ref="I10:K10"/>
    <mergeCell ref="L10:N10"/>
    <mergeCell ref="P10:Q10"/>
    <mergeCell ref="T10:U10"/>
    <mergeCell ref="V12:AE12"/>
    <mergeCell ref="C11:H11"/>
    <mergeCell ref="I11:K11"/>
    <mergeCell ref="L11:N11"/>
    <mergeCell ref="P11:Q11"/>
    <mergeCell ref="T11:U11"/>
    <mergeCell ref="V11:AE11"/>
    <mergeCell ref="C12:H12"/>
    <mergeCell ref="I12:K12"/>
    <mergeCell ref="L12:N12"/>
    <mergeCell ref="P12:Q12"/>
    <mergeCell ref="T12:U12"/>
    <mergeCell ref="V13:AE13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6:AE16"/>
    <mergeCell ref="C15:H15"/>
    <mergeCell ref="I15:K15"/>
    <mergeCell ref="L15:N15"/>
    <mergeCell ref="P15:Q15"/>
    <mergeCell ref="T15:U15"/>
    <mergeCell ref="V15:AE15"/>
    <mergeCell ref="C16:H16"/>
    <mergeCell ref="I16:K16"/>
    <mergeCell ref="L16:N16"/>
    <mergeCell ref="P16:Q16"/>
    <mergeCell ref="T16:U16"/>
  </mergeCells>
  <phoneticPr fontId="1"/>
  <conditionalFormatting sqref="V10 B7:T8 C9:T10 B9:B15">
    <cfRule type="expression" dxfId="107" priority="16">
      <formula>$S7="○"</formula>
    </cfRule>
  </conditionalFormatting>
  <conditionalFormatting sqref="V11 C11:T11">
    <cfRule type="expression" dxfId="106" priority="15">
      <formula>$S11="○"</formula>
    </cfRule>
  </conditionalFormatting>
  <conditionalFormatting sqref="V12 C12:T12">
    <cfRule type="expression" dxfId="105" priority="14">
      <formula>$S12="○"</formula>
    </cfRule>
  </conditionalFormatting>
  <conditionalFormatting sqref="V13 C13:T13">
    <cfRule type="expression" dxfId="104" priority="13">
      <formula>$S13="○"</formula>
    </cfRule>
  </conditionalFormatting>
  <conditionalFormatting sqref="C14:H14">
    <cfRule type="expression" dxfId="103" priority="11">
      <formula>$S14="○"</formula>
    </cfRule>
  </conditionalFormatting>
  <conditionalFormatting sqref="V14 I14:T14">
    <cfRule type="expression" dxfId="102" priority="10">
      <formula>$S14="○"</formula>
    </cfRule>
  </conditionalFormatting>
  <conditionalFormatting sqref="V15 C15:T15">
    <cfRule type="expression" dxfId="101" priority="7">
      <formula>$S15="○"</formula>
    </cfRule>
  </conditionalFormatting>
  <conditionalFormatting sqref="B16">
    <cfRule type="expression" dxfId="100" priority="6">
      <formula>$S16="○"</formula>
    </cfRule>
  </conditionalFormatting>
  <conditionalFormatting sqref="V16 C16:T16">
    <cfRule type="expression" dxfId="99" priority="5">
      <formula>$S16="○"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16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B1:AH32"/>
  <sheetViews>
    <sheetView showGridLines="0" view="pageBreakPreview" topLeftCell="A4" zoomScale="115" zoomScaleNormal="100" zoomScaleSheetLayoutView="115" workbookViewId="0">
      <selection activeCell="F34" sqref="F34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注文情報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240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250</v>
      </c>
      <c r="D7" s="37"/>
      <c r="E7" s="37"/>
      <c r="F7" s="37"/>
      <c r="G7" s="37"/>
      <c r="H7" s="38"/>
      <c r="I7" s="53" t="s">
        <v>251</v>
      </c>
      <c r="J7" s="53"/>
      <c r="K7" s="53"/>
      <c r="L7" s="53" t="s">
        <v>136</v>
      </c>
      <c r="M7" s="53"/>
      <c r="N7" s="53"/>
      <c r="O7" s="14">
        <v>255</v>
      </c>
      <c r="P7" s="53"/>
      <c r="Q7" s="53"/>
      <c r="R7" s="14"/>
      <c r="S7" s="14"/>
      <c r="T7" s="74"/>
      <c r="U7" s="74"/>
      <c r="V7" s="36"/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249</v>
      </c>
      <c r="D8" s="37"/>
      <c r="E8" s="37"/>
      <c r="F8" s="37"/>
      <c r="G8" s="37"/>
      <c r="H8" s="38"/>
      <c r="I8" s="53" t="s">
        <v>252</v>
      </c>
      <c r="J8" s="53"/>
      <c r="K8" s="53"/>
      <c r="L8" s="53" t="s">
        <v>134</v>
      </c>
      <c r="M8" s="53"/>
      <c r="N8" s="53"/>
      <c r="O8" s="14">
        <v>11</v>
      </c>
      <c r="P8" s="53"/>
      <c r="Q8" s="53"/>
      <c r="R8" s="14"/>
      <c r="S8" s="14"/>
      <c r="T8" s="74"/>
      <c r="U8" s="74"/>
      <c r="V8" s="36" t="s">
        <v>259</v>
      </c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27">
        <v>3</v>
      </c>
      <c r="C9" s="75" t="s">
        <v>238</v>
      </c>
      <c r="D9" s="37"/>
      <c r="E9" s="37"/>
      <c r="F9" s="37"/>
      <c r="G9" s="37"/>
      <c r="H9" s="38"/>
      <c r="I9" s="53" t="s">
        <v>239</v>
      </c>
      <c r="J9" s="53"/>
      <c r="K9" s="53"/>
      <c r="L9" s="53" t="s">
        <v>134</v>
      </c>
      <c r="M9" s="53"/>
      <c r="N9" s="53"/>
      <c r="O9" s="14">
        <v>11</v>
      </c>
      <c r="P9" s="53"/>
      <c r="Q9" s="53"/>
      <c r="R9" s="14"/>
      <c r="S9" s="14"/>
      <c r="T9" s="74"/>
      <c r="U9" s="74"/>
      <c r="V9" s="36" t="s">
        <v>260</v>
      </c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28">
        <v>4</v>
      </c>
      <c r="C10" s="75" t="s">
        <v>345</v>
      </c>
      <c r="D10" s="37"/>
      <c r="E10" s="37"/>
      <c r="F10" s="37"/>
      <c r="G10" s="37"/>
      <c r="H10" s="38"/>
      <c r="I10" s="53" t="s">
        <v>348</v>
      </c>
      <c r="J10" s="53"/>
      <c r="K10" s="53"/>
      <c r="L10" s="53" t="s">
        <v>134</v>
      </c>
      <c r="M10" s="53"/>
      <c r="N10" s="53"/>
      <c r="O10" s="14">
        <v>11</v>
      </c>
      <c r="P10" s="53"/>
      <c r="Q10" s="53"/>
      <c r="R10" s="14"/>
      <c r="S10" s="14"/>
      <c r="T10" s="74"/>
      <c r="U10" s="74"/>
      <c r="V10" s="36" t="s">
        <v>237</v>
      </c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28">
        <v>5</v>
      </c>
      <c r="C11" s="75" t="s">
        <v>346</v>
      </c>
      <c r="D11" s="37"/>
      <c r="E11" s="37"/>
      <c r="F11" s="37"/>
      <c r="G11" s="37"/>
      <c r="H11" s="38"/>
      <c r="I11" s="53" t="s">
        <v>347</v>
      </c>
      <c r="J11" s="53"/>
      <c r="K11" s="53"/>
      <c r="L11" s="53" t="s">
        <v>23</v>
      </c>
      <c r="M11" s="53"/>
      <c r="N11" s="53"/>
      <c r="O11" s="15">
        <v>11</v>
      </c>
      <c r="P11" s="53"/>
      <c r="Q11" s="53"/>
      <c r="R11" s="15"/>
      <c r="S11" s="15"/>
      <c r="T11" s="74"/>
      <c r="U11" s="74"/>
      <c r="V11" s="36" t="s">
        <v>237</v>
      </c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28">
        <v>6</v>
      </c>
      <c r="C12" s="36" t="s">
        <v>248</v>
      </c>
      <c r="D12" s="37"/>
      <c r="E12" s="37"/>
      <c r="F12" s="37"/>
      <c r="G12" s="37"/>
      <c r="H12" s="38"/>
      <c r="I12" s="36" t="s">
        <v>253</v>
      </c>
      <c r="J12" s="37"/>
      <c r="K12" s="38"/>
      <c r="L12" s="36" t="s">
        <v>261</v>
      </c>
      <c r="M12" s="37"/>
      <c r="N12" s="38"/>
      <c r="O12" s="14"/>
      <c r="P12" s="36"/>
      <c r="Q12" s="38"/>
      <c r="R12" s="14"/>
      <c r="S12" s="14"/>
      <c r="T12" s="54"/>
      <c r="U12" s="59"/>
      <c r="V12" s="36"/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28">
        <v>7</v>
      </c>
      <c r="C13" s="75" t="s">
        <v>247</v>
      </c>
      <c r="D13" s="37"/>
      <c r="E13" s="37"/>
      <c r="F13" s="37"/>
      <c r="G13" s="37"/>
      <c r="H13" s="38"/>
      <c r="I13" s="53" t="s">
        <v>254</v>
      </c>
      <c r="J13" s="53"/>
      <c r="K13" s="53"/>
      <c r="L13" s="53" t="s">
        <v>134</v>
      </c>
      <c r="M13" s="53"/>
      <c r="N13" s="53"/>
      <c r="O13" s="14">
        <v>10</v>
      </c>
      <c r="P13" s="53">
        <v>1</v>
      </c>
      <c r="Q13" s="53"/>
      <c r="R13" s="14"/>
      <c r="S13" s="14"/>
      <c r="T13" s="74"/>
      <c r="U13" s="74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28">
        <v>8</v>
      </c>
      <c r="C14" s="75" t="s">
        <v>427</v>
      </c>
      <c r="D14" s="37"/>
      <c r="E14" s="37"/>
      <c r="F14" s="37"/>
      <c r="G14" s="37"/>
      <c r="H14" s="38"/>
      <c r="I14" s="53" t="s">
        <v>233</v>
      </c>
      <c r="J14" s="53"/>
      <c r="K14" s="53"/>
      <c r="L14" s="53" t="s">
        <v>134</v>
      </c>
      <c r="M14" s="53"/>
      <c r="N14" s="53"/>
      <c r="O14" s="14">
        <v>10</v>
      </c>
      <c r="P14" s="53"/>
      <c r="Q14" s="53"/>
      <c r="R14" s="14"/>
      <c r="S14" s="14"/>
      <c r="T14" s="74"/>
      <c r="U14" s="74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28">
        <v>9</v>
      </c>
      <c r="C15" s="75" t="s">
        <v>246</v>
      </c>
      <c r="D15" s="37"/>
      <c r="E15" s="37"/>
      <c r="F15" s="37"/>
      <c r="G15" s="37"/>
      <c r="H15" s="38"/>
      <c r="I15" s="53" t="s">
        <v>333</v>
      </c>
      <c r="J15" s="53"/>
      <c r="K15" s="53"/>
      <c r="L15" s="53" t="s">
        <v>217</v>
      </c>
      <c r="M15" s="53"/>
      <c r="N15" s="53"/>
      <c r="O15" s="14"/>
      <c r="P15" s="53"/>
      <c r="Q15" s="53"/>
      <c r="R15" s="14"/>
      <c r="S15" s="14"/>
      <c r="T15" s="74"/>
      <c r="U15" s="74"/>
      <c r="V15" s="36" t="s">
        <v>133</v>
      </c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28">
        <v>10</v>
      </c>
      <c r="C16" s="36" t="s">
        <v>245</v>
      </c>
      <c r="D16" s="37"/>
      <c r="E16" s="37"/>
      <c r="F16" s="37"/>
      <c r="G16" s="37"/>
      <c r="H16" s="38"/>
      <c r="I16" s="53" t="s">
        <v>255</v>
      </c>
      <c r="J16" s="53"/>
      <c r="K16" s="53"/>
      <c r="L16" s="53" t="s">
        <v>234</v>
      </c>
      <c r="M16" s="53"/>
      <c r="N16" s="53"/>
      <c r="O16" s="14">
        <v>255</v>
      </c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28">
        <v>11</v>
      </c>
      <c r="C17" s="86" t="s">
        <v>243</v>
      </c>
      <c r="D17" s="87"/>
      <c r="E17" s="87"/>
      <c r="F17" s="87"/>
      <c r="G17" s="87"/>
      <c r="H17" s="88"/>
      <c r="I17" s="89" t="s">
        <v>258</v>
      </c>
      <c r="J17" s="89"/>
      <c r="K17" s="89"/>
      <c r="L17" s="89" t="s">
        <v>139</v>
      </c>
      <c r="M17" s="89"/>
      <c r="N17" s="89"/>
      <c r="O17" s="25"/>
      <c r="P17" s="89"/>
      <c r="Q17" s="89"/>
      <c r="R17" s="25"/>
      <c r="S17" s="25"/>
      <c r="T17" s="90"/>
      <c r="U17" s="90"/>
      <c r="V17" s="86"/>
      <c r="W17" s="87"/>
      <c r="X17" s="87"/>
      <c r="Y17" s="87"/>
      <c r="Z17" s="87"/>
      <c r="AA17" s="87"/>
      <c r="AB17" s="87"/>
      <c r="AC17" s="87"/>
      <c r="AD17" s="87"/>
      <c r="AE17" s="88"/>
    </row>
    <row r="18" spans="2:31" s="32" customFormat="1" ht="15" customHeight="1" x14ac:dyDescent="0.15">
      <c r="B18" s="28">
        <v>12</v>
      </c>
      <c r="C18" s="76" t="s">
        <v>432</v>
      </c>
      <c r="D18" s="77"/>
      <c r="E18" s="77"/>
      <c r="F18" s="77"/>
      <c r="G18" s="77"/>
      <c r="H18" s="78"/>
      <c r="I18" s="79" t="s">
        <v>450</v>
      </c>
      <c r="J18" s="79"/>
      <c r="K18" s="79"/>
      <c r="L18" s="79" t="s">
        <v>428</v>
      </c>
      <c r="M18" s="79"/>
      <c r="N18" s="79"/>
      <c r="O18" s="31">
        <v>10</v>
      </c>
      <c r="P18" s="79"/>
      <c r="Q18" s="79"/>
      <c r="R18" s="31"/>
      <c r="S18" s="31"/>
      <c r="T18" s="80"/>
      <c r="U18" s="80"/>
      <c r="V18" s="76" t="s">
        <v>433</v>
      </c>
      <c r="W18" s="77"/>
      <c r="X18" s="77"/>
      <c r="Y18" s="77"/>
      <c r="Z18" s="77"/>
      <c r="AA18" s="77"/>
      <c r="AB18" s="77"/>
      <c r="AC18" s="77"/>
      <c r="AD18" s="77"/>
      <c r="AE18" s="78"/>
    </row>
    <row r="19" spans="2:31" s="32" customFormat="1" ht="15" customHeight="1" x14ac:dyDescent="0.15">
      <c r="B19" s="28">
        <v>13</v>
      </c>
      <c r="C19" s="76" t="s">
        <v>429</v>
      </c>
      <c r="D19" s="77"/>
      <c r="E19" s="77"/>
      <c r="F19" s="77"/>
      <c r="G19" s="77"/>
      <c r="H19" s="78"/>
      <c r="I19" s="79" t="s">
        <v>451</v>
      </c>
      <c r="J19" s="79"/>
      <c r="K19" s="79"/>
      <c r="L19" s="79" t="s">
        <v>430</v>
      </c>
      <c r="M19" s="79"/>
      <c r="N19" s="79"/>
      <c r="O19" s="31"/>
      <c r="P19" s="79"/>
      <c r="Q19" s="79"/>
      <c r="R19" s="31"/>
      <c r="S19" s="31"/>
      <c r="T19" s="80"/>
      <c r="U19" s="80"/>
      <c r="V19" s="76"/>
      <c r="W19" s="77"/>
      <c r="X19" s="77"/>
      <c r="Y19" s="77"/>
      <c r="Z19" s="77"/>
      <c r="AA19" s="77"/>
      <c r="AB19" s="77"/>
      <c r="AC19" s="77"/>
      <c r="AD19" s="77"/>
      <c r="AE19" s="78"/>
    </row>
    <row r="20" spans="2:31" s="32" customFormat="1" ht="15" customHeight="1" x14ac:dyDescent="0.15">
      <c r="B20" s="28">
        <v>14</v>
      </c>
      <c r="C20" s="76" t="s">
        <v>431</v>
      </c>
      <c r="D20" s="77"/>
      <c r="E20" s="77"/>
      <c r="F20" s="77"/>
      <c r="G20" s="77"/>
      <c r="H20" s="78"/>
      <c r="I20" s="79" t="s">
        <v>452</v>
      </c>
      <c r="J20" s="79"/>
      <c r="K20" s="79"/>
      <c r="L20" s="79" t="s">
        <v>428</v>
      </c>
      <c r="M20" s="79"/>
      <c r="N20" s="79"/>
      <c r="O20" s="31">
        <v>10</v>
      </c>
      <c r="P20" s="79"/>
      <c r="Q20" s="79"/>
      <c r="R20" s="31"/>
      <c r="S20" s="31"/>
      <c r="T20" s="80"/>
      <c r="U20" s="80"/>
      <c r="V20" s="76" t="s">
        <v>449</v>
      </c>
      <c r="W20" s="77"/>
      <c r="X20" s="77"/>
      <c r="Y20" s="77"/>
      <c r="Z20" s="77"/>
      <c r="AA20" s="77"/>
      <c r="AB20" s="77"/>
      <c r="AC20" s="77"/>
      <c r="AD20" s="77"/>
      <c r="AE20" s="78"/>
    </row>
    <row r="21" spans="2:31" ht="15" customHeight="1" x14ac:dyDescent="0.15">
      <c r="B21" s="28">
        <v>15</v>
      </c>
      <c r="C21" s="36" t="s">
        <v>437</v>
      </c>
      <c r="D21" s="37"/>
      <c r="E21" s="37"/>
      <c r="F21" s="37"/>
      <c r="G21" s="37"/>
      <c r="H21" s="38"/>
      <c r="I21" s="53" t="s">
        <v>438</v>
      </c>
      <c r="J21" s="53"/>
      <c r="K21" s="53"/>
      <c r="L21" s="53" t="s">
        <v>439</v>
      </c>
      <c r="M21" s="53"/>
      <c r="N21" s="53"/>
      <c r="O21" s="24"/>
      <c r="P21" s="53"/>
      <c r="Q21" s="53"/>
      <c r="R21" s="24"/>
      <c r="S21" s="24"/>
      <c r="T21" s="74"/>
      <c r="U21" s="74"/>
      <c r="V21" s="36"/>
      <c r="W21" s="37"/>
      <c r="X21" s="37"/>
      <c r="Y21" s="37"/>
      <c r="Z21" s="37"/>
      <c r="AA21" s="37"/>
      <c r="AB21" s="37"/>
      <c r="AC21" s="37"/>
      <c r="AD21" s="37"/>
      <c r="AE21" s="38"/>
    </row>
    <row r="22" spans="2:31" ht="15" customHeight="1" x14ac:dyDescent="0.15">
      <c r="B22" s="28">
        <v>16</v>
      </c>
      <c r="C22" s="36" t="s">
        <v>440</v>
      </c>
      <c r="D22" s="37"/>
      <c r="E22" s="37"/>
      <c r="F22" s="37"/>
      <c r="G22" s="37"/>
      <c r="H22" s="38"/>
      <c r="I22" s="53" t="s">
        <v>441</v>
      </c>
      <c r="J22" s="53"/>
      <c r="K22" s="53"/>
      <c r="L22" s="53" t="s">
        <v>442</v>
      </c>
      <c r="M22" s="53"/>
      <c r="N22" s="53"/>
      <c r="O22" s="24">
        <v>2</v>
      </c>
      <c r="P22" s="53">
        <v>1</v>
      </c>
      <c r="Q22" s="53"/>
      <c r="R22" s="24"/>
      <c r="S22" s="24"/>
      <c r="T22" s="74"/>
      <c r="U22" s="74"/>
      <c r="V22" s="36" t="s">
        <v>443</v>
      </c>
      <c r="W22" s="37"/>
      <c r="X22" s="37"/>
      <c r="Y22" s="37"/>
      <c r="Z22" s="37"/>
      <c r="AA22" s="37"/>
      <c r="AB22" s="37"/>
      <c r="AC22" s="37"/>
      <c r="AD22" s="37"/>
      <c r="AE22" s="38"/>
    </row>
    <row r="23" spans="2:31" ht="15" customHeight="1" x14ac:dyDescent="0.15">
      <c r="B23" s="28">
        <v>17</v>
      </c>
      <c r="C23" s="36" t="s">
        <v>444</v>
      </c>
      <c r="D23" s="37"/>
      <c r="E23" s="37"/>
      <c r="F23" s="37"/>
      <c r="G23" s="37"/>
      <c r="H23" s="38"/>
      <c r="I23" s="53" t="s">
        <v>445</v>
      </c>
      <c r="J23" s="53"/>
      <c r="K23" s="53"/>
      <c r="L23" s="53" t="s">
        <v>442</v>
      </c>
      <c r="M23" s="53"/>
      <c r="N23" s="53"/>
      <c r="O23" s="24">
        <v>2</v>
      </c>
      <c r="P23" s="53">
        <v>0</v>
      </c>
      <c r="Q23" s="53"/>
      <c r="R23" s="24"/>
      <c r="S23" s="24"/>
      <c r="T23" s="74"/>
      <c r="U23" s="74"/>
      <c r="V23" s="36" t="s">
        <v>446</v>
      </c>
      <c r="W23" s="37"/>
      <c r="X23" s="37"/>
      <c r="Y23" s="37"/>
      <c r="Z23" s="37"/>
      <c r="AA23" s="37"/>
      <c r="AB23" s="37"/>
      <c r="AC23" s="37"/>
      <c r="AD23" s="37"/>
      <c r="AE23" s="38"/>
    </row>
    <row r="24" spans="2:31" s="33" customFormat="1" ht="26.25" customHeight="1" x14ac:dyDescent="0.15">
      <c r="B24" s="28">
        <v>18</v>
      </c>
      <c r="C24" s="86" t="s">
        <v>453</v>
      </c>
      <c r="D24" s="87"/>
      <c r="E24" s="87"/>
      <c r="F24" s="87"/>
      <c r="G24" s="87"/>
      <c r="H24" s="88"/>
      <c r="I24" s="89" t="s">
        <v>454</v>
      </c>
      <c r="J24" s="89"/>
      <c r="K24" s="89"/>
      <c r="L24" s="89" t="s">
        <v>442</v>
      </c>
      <c r="M24" s="89"/>
      <c r="N24" s="89"/>
      <c r="O24" s="30">
        <v>2</v>
      </c>
      <c r="P24" s="89">
        <v>0</v>
      </c>
      <c r="Q24" s="89"/>
      <c r="R24" s="30"/>
      <c r="S24" s="30"/>
      <c r="T24" s="90"/>
      <c r="U24" s="90"/>
      <c r="V24" s="91" t="s">
        <v>455</v>
      </c>
      <c r="W24" s="87"/>
      <c r="X24" s="87"/>
      <c r="Y24" s="87"/>
      <c r="Z24" s="87"/>
      <c r="AA24" s="87"/>
      <c r="AB24" s="87"/>
      <c r="AC24" s="87"/>
      <c r="AD24" s="87"/>
      <c r="AE24" s="88"/>
    </row>
    <row r="25" spans="2:31" s="33" customFormat="1" ht="15" customHeight="1" x14ac:dyDescent="0.15">
      <c r="B25" s="28">
        <v>19</v>
      </c>
      <c r="C25" s="86" t="s">
        <v>456</v>
      </c>
      <c r="D25" s="87"/>
      <c r="E25" s="87"/>
      <c r="F25" s="87"/>
      <c r="G25" s="87"/>
      <c r="H25" s="88"/>
      <c r="I25" s="89" t="s">
        <v>457</v>
      </c>
      <c r="J25" s="89"/>
      <c r="K25" s="89"/>
      <c r="L25" s="89" t="s">
        <v>458</v>
      </c>
      <c r="M25" s="89"/>
      <c r="N25" s="89"/>
      <c r="O25" s="30">
        <v>2</v>
      </c>
      <c r="P25" s="89">
        <v>0</v>
      </c>
      <c r="Q25" s="89"/>
      <c r="R25" s="30"/>
      <c r="S25" s="30"/>
      <c r="T25" s="90"/>
      <c r="U25" s="90"/>
      <c r="V25" s="91" t="s">
        <v>459</v>
      </c>
      <c r="W25" s="87"/>
      <c r="X25" s="87"/>
      <c r="Y25" s="87"/>
      <c r="Z25" s="87"/>
      <c r="AA25" s="87"/>
      <c r="AB25" s="87"/>
      <c r="AC25" s="87"/>
      <c r="AD25" s="87"/>
      <c r="AE25" s="88"/>
    </row>
    <row r="26" spans="2:31" s="26" customFormat="1" ht="15" customHeight="1" x14ac:dyDescent="0.15">
      <c r="B26" s="29">
        <v>20</v>
      </c>
      <c r="C26" s="92" t="s">
        <v>242</v>
      </c>
      <c r="D26" s="82"/>
      <c r="E26" s="82"/>
      <c r="F26" s="82"/>
      <c r="G26" s="82"/>
      <c r="H26" s="83"/>
      <c r="I26" s="84" t="s">
        <v>462</v>
      </c>
      <c r="J26" s="84"/>
      <c r="K26" s="84"/>
      <c r="L26" s="84" t="s">
        <v>142</v>
      </c>
      <c r="M26" s="84"/>
      <c r="N26" s="84"/>
      <c r="O26" s="29"/>
      <c r="P26" s="84"/>
      <c r="Q26" s="84"/>
      <c r="R26" s="29"/>
      <c r="S26" s="29"/>
      <c r="T26" s="85"/>
      <c r="U26" s="85"/>
      <c r="V26" s="81"/>
      <c r="W26" s="82"/>
      <c r="X26" s="82"/>
      <c r="Y26" s="82"/>
      <c r="Z26" s="82"/>
      <c r="AA26" s="82"/>
      <c r="AB26" s="82"/>
      <c r="AC26" s="82"/>
      <c r="AD26" s="82"/>
      <c r="AE26" s="83"/>
    </row>
    <row r="27" spans="2:31" s="26" customFormat="1" ht="15" customHeight="1" x14ac:dyDescent="0.15">
      <c r="B27" s="29">
        <v>21</v>
      </c>
      <c r="C27" s="92" t="s">
        <v>241</v>
      </c>
      <c r="D27" s="82"/>
      <c r="E27" s="82"/>
      <c r="F27" s="82"/>
      <c r="G27" s="82"/>
      <c r="H27" s="83"/>
      <c r="I27" s="84" t="s">
        <v>461</v>
      </c>
      <c r="J27" s="84"/>
      <c r="K27" s="84"/>
      <c r="L27" s="84" t="s">
        <v>142</v>
      </c>
      <c r="M27" s="84"/>
      <c r="N27" s="84"/>
      <c r="O27" s="29"/>
      <c r="P27" s="84"/>
      <c r="Q27" s="84"/>
      <c r="R27" s="29"/>
      <c r="S27" s="29"/>
      <c r="T27" s="85"/>
      <c r="U27" s="85"/>
      <c r="V27" s="81"/>
      <c r="W27" s="82"/>
      <c r="X27" s="82"/>
      <c r="Y27" s="82"/>
      <c r="Z27" s="82"/>
      <c r="AA27" s="82"/>
      <c r="AB27" s="82"/>
      <c r="AC27" s="82"/>
      <c r="AD27" s="82"/>
      <c r="AE27" s="83"/>
    </row>
    <row r="28" spans="2:31" s="26" customFormat="1" ht="15" customHeight="1" x14ac:dyDescent="0.15">
      <c r="B28" s="29">
        <v>22</v>
      </c>
      <c r="C28" s="92" t="s">
        <v>460</v>
      </c>
      <c r="D28" s="82"/>
      <c r="E28" s="82"/>
      <c r="F28" s="82"/>
      <c r="G28" s="82"/>
      <c r="H28" s="83"/>
      <c r="I28" s="84" t="s">
        <v>463</v>
      </c>
      <c r="J28" s="84"/>
      <c r="K28" s="84"/>
      <c r="L28" s="84" t="s">
        <v>142</v>
      </c>
      <c r="M28" s="84"/>
      <c r="N28" s="84"/>
      <c r="O28" s="29"/>
      <c r="P28" s="84"/>
      <c r="Q28" s="84"/>
      <c r="R28" s="29"/>
      <c r="S28" s="29"/>
      <c r="T28" s="85"/>
      <c r="U28" s="85"/>
      <c r="V28" s="81"/>
      <c r="W28" s="82"/>
      <c r="X28" s="82"/>
      <c r="Y28" s="82"/>
      <c r="Z28" s="82"/>
      <c r="AA28" s="82"/>
      <c r="AB28" s="82"/>
      <c r="AC28" s="82"/>
      <c r="AD28" s="82"/>
      <c r="AE28" s="83"/>
    </row>
    <row r="29" spans="2:31" s="26" customFormat="1" ht="15" customHeight="1" x14ac:dyDescent="0.15">
      <c r="B29" s="29">
        <v>23</v>
      </c>
      <c r="C29" s="81" t="s">
        <v>434</v>
      </c>
      <c r="D29" s="82"/>
      <c r="E29" s="82"/>
      <c r="F29" s="82"/>
      <c r="G29" s="82"/>
      <c r="H29" s="83"/>
      <c r="I29" s="84" t="s">
        <v>465</v>
      </c>
      <c r="J29" s="84"/>
      <c r="K29" s="84"/>
      <c r="L29" s="84" t="s">
        <v>436</v>
      </c>
      <c r="M29" s="84"/>
      <c r="N29" s="84"/>
      <c r="O29" s="29"/>
      <c r="P29" s="84"/>
      <c r="Q29" s="84"/>
      <c r="R29" s="29"/>
      <c r="S29" s="29"/>
      <c r="T29" s="85"/>
      <c r="U29" s="85"/>
      <c r="V29" s="81"/>
      <c r="W29" s="82"/>
      <c r="X29" s="82"/>
      <c r="Y29" s="82"/>
      <c r="Z29" s="82"/>
      <c r="AA29" s="82"/>
      <c r="AB29" s="82"/>
      <c r="AC29" s="82"/>
      <c r="AD29" s="82"/>
      <c r="AE29" s="83"/>
    </row>
    <row r="30" spans="2:31" s="26" customFormat="1" ht="15" customHeight="1" x14ac:dyDescent="0.15">
      <c r="B30" s="29">
        <v>24</v>
      </c>
      <c r="C30" s="81" t="s">
        <v>435</v>
      </c>
      <c r="D30" s="82"/>
      <c r="E30" s="82"/>
      <c r="F30" s="82"/>
      <c r="G30" s="82"/>
      <c r="H30" s="83"/>
      <c r="I30" s="84" t="s">
        <v>464</v>
      </c>
      <c r="J30" s="84"/>
      <c r="K30" s="84"/>
      <c r="L30" s="84" t="s">
        <v>436</v>
      </c>
      <c r="M30" s="84"/>
      <c r="N30" s="84"/>
      <c r="O30" s="29"/>
      <c r="P30" s="84"/>
      <c r="Q30" s="84"/>
      <c r="R30" s="29"/>
      <c r="S30" s="29"/>
      <c r="T30" s="85"/>
      <c r="U30" s="85"/>
      <c r="V30" s="81"/>
      <c r="W30" s="82"/>
      <c r="X30" s="82"/>
      <c r="Y30" s="82"/>
      <c r="Z30" s="82"/>
      <c r="AA30" s="82"/>
      <c r="AB30" s="82"/>
      <c r="AC30" s="82"/>
      <c r="AD30" s="82"/>
      <c r="AE30" s="83"/>
    </row>
    <row r="31" spans="2:31" s="26" customFormat="1" ht="15" customHeight="1" x14ac:dyDescent="0.15">
      <c r="B31" s="29">
        <v>25</v>
      </c>
      <c r="C31" s="81" t="s">
        <v>447</v>
      </c>
      <c r="D31" s="82"/>
      <c r="E31" s="82"/>
      <c r="F31" s="82"/>
      <c r="G31" s="82"/>
      <c r="H31" s="83"/>
      <c r="I31" s="84" t="s">
        <v>466</v>
      </c>
      <c r="J31" s="84"/>
      <c r="K31" s="84"/>
      <c r="L31" s="84" t="s">
        <v>436</v>
      </c>
      <c r="M31" s="84"/>
      <c r="N31" s="84"/>
      <c r="O31" s="29"/>
      <c r="P31" s="84"/>
      <c r="Q31" s="84"/>
      <c r="R31" s="29"/>
      <c r="S31" s="29"/>
      <c r="T31" s="85"/>
      <c r="U31" s="85"/>
      <c r="V31" s="81"/>
      <c r="W31" s="82"/>
      <c r="X31" s="82"/>
      <c r="Y31" s="82"/>
      <c r="Z31" s="82"/>
      <c r="AA31" s="82"/>
      <c r="AB31" s="82"/>
      <c r="AC31" s="82"/>
      <c r="AD31" s="82"/>
      <c r="AE31" s="83"/>
    </row>
    <row r="32" spans="2:31" s="26" customFormat="1" ht="15" customHeight="1" x14ac:dyDescent="0.15">
      <c r="B32" s="29">
        <v>26</v>
      </c>
      <c r="C32" s="93" t="s">
        <v>448</v>
      </c>
      <c r="D32" s="94"/>
      <c r="E32" s="94"/>
      <c r="F32" s="94"/>
      <c r="G32" s="94"/>
      <c r="H32" s="95"/>
      <c r="I32" s="93" t="s">
        <v>467</v>
      </c>
      <c r="J32" s="94"/>
      <c r="K32" s="95"/>
      <c r="L32" s="93" t="s">
        <v>436</v>
      </c>
      <c r="M32" s="94"/>
      <c r="N32" s="95"/>
      <c r="O32" s="34"/>
      <c r="P32" s="93"/>
      <c r="Q32" s="95"/>
      <c r="R32" s="34"/>
      <c r="S32" s="34"/>
      <c r="T32" s="93"/>
      <c r="U32" s="95"/>
      <c r="V32" s="93"/>
      <c r="W32" s="94"/>
      <c r="X32" s="94"/>
      <c r="Y32" s="94"/>
      <c r="Z32" s="94"/>
      <c r="AA32" s="94"/>
      <c r="AB32" s="94"/>
      <c r="AC32" s="94"/>
      <c r="AD32" s="94"/>
      <c r="AE32" s="95"/>
    </row>
  </sheetData>
  <mergeCells count="175">
    <mergeCell ref="C24:H24"/>
    <mergeCell ref="I24:K24"/>
    <mergeCell ref="L24:N24"/>
    <mergeCell ref="P24:Q24"/>
    <mergeCell ref="T24:U24"/>
    <mergeCell ref="V24:AE24"/>
    <mergeCell ref="C31:H31"/>
    <mergeCell ref="I31:K31"/>
    <mergeCell ref="L31:N31"/>
    <mergeCell ref="P31:Q31"/>
    <mergeCell ref="T31:U31"/>
    <mergeCell ref="V31:AE31"/>
    <mergeCell ref="C26:H26"/>
    <mergeCell ref="I26:K26"/>
    <mergeCell ref="L26:N26"/>
    <mergeCell ref="P26:Q26"/>
    <mergeCell ref="T26:U26"/>
    <mergeCell ref="V26:AE26"/>
    <mergeCell ref="C30:H30"/>
    <mergeCell ref="I30:K30"/>
    <mergeCell ref="L30:N30"/>
    <mergeCell ref="P30:Q30"/>
    <mergeCell ref="T30:U30"/>
    <mergeCell ref="V30:AE30"/>
    <mergeCell ref="C32:H32"/>
    <mergeCell ref="I32:K32"/>
    <mergeCell ref="L32:N32"/>
    <mergeCell ref="P32:Q32"/>
    <mergeCell ref="T32:U32"/>
    <mergeCell ref="V32:AE32"/>
    <mergeCell ref="C15:H15"/>
    <mergeCell ref="I15:K15"/>
    <mergeCell ref="L15:N15"/>
    <mergeCell ref="P15:Q15"/>
    <mergeCell ref="T15:U15"/>
    <mergeCell ref="V15:AE15"/>
    <mergeCell ref="C21:H21"/>
    <mergeCell ref="I21:K21"/>
    <mergeCell ref="L21:N21"/>
    <mergeCell ref="P21:Q21"/>
    <mergeCell ref="T21:U21"/>
    <mergeCell ref="V21:AE21"/>
    <mergeCell ref="C27:H27"/>
    <mergeCell ref="I27:K27"/>
    <mergeCell ref="L27:N27"/>
    <mergeCell ref="P27:Q27"/>
    <mergeCell ref="T27:U27"/>
    <mergeCell ref="V27:AE27"/>
    <mergeCell ref="C16:H16"/>
    <mergeCell ref="I16:K16"/>
    <mergeCell ref="L16:N16"/>
    <mergeCell ref="P16:Q16"/>
    <mergeCell ref="T16:U16"/>
    <mergeCell ref="V16:AE16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V12:AE12"/>
    <mergeCell ref="T12:U12"/>
    <mergeCell ref="P12:Q12"/>
    <mergeCell ref="L12:N12"/>
    <mergeCell ref="I12:K12"/>
    <mergeCell ref="C12:H12"/>
    <mergeCell ref="C13:H13"/>
    <mergeCell ref="I13:K13"/>
    <mergeCell ref="L13:N13"/>
    <mergeCell ref="P13:Q13"/>
    <mergeCell ref="T13:U13"/>
    <mergeCell ref="V13:AE13"/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7:H17"/>
    <mergeCell ref="I17:K17"/>
    <mergeCell ref="L17:N17"/>
    <mergeCell ref="P17:Q17"/>
    <mergeCell ref="T17:U17"/>
    <mergeCell ref="V17:AE17"/>
    <mergeCell ref="C18:H18"/>
    <mergeCell ref="I18:K18"/>
    <mergeCell ref="L18:N18"/>
    <mergeCell ref="P18:Q18"/>
    <mergeCell ref="T18:U18"/>
    <mergeCell ref="V18:AE18"/>
    <mergeCell ref="C19:H19"/>
    <mergeCell ref="I19:K19"/>
    <mergeCell ref="L19:N19"/>
    <mergeCell ref="P19:Q19"/>
    <mergeCell ref="T19:U19"/>
    <mergeCell ref="V19:AE19"/>
    <mergeCell ref="C29:H29"/>
    <mergeCell ref="I29:K29"/>
    <mergeCell ref="L29:N29"/>
    <mergeCell ref="P29:Q29"/>
    <mergeCell ref="T29:U29"/>
    <mergeCell ref="V29:AE29"/>
    <mergeCell ref="C25:H25"/>
    <mergeCell ref="I25:K25"/>
    <mergeCell ref="L25:N25"/>
    <mergeCell ref="P25:Q25"/>
    <mergeCell ref="T25:U25"/>
    <mergeCell ref="V25:AE25"/>
    <mergeCell ref="C28:H28"/>
    <mergeCell ref="I28:K28"/>
    <mergeCell ref="L28:N28"/>
    <mergeCell ref="P28:Q28"/>
    <mergeCell ref="T28:U28"/>
    <mergeCell ref="V28:AE28"/>
    <mergeCell ref="C23:H23"/>
    <mergeCell ref="I23:K23"/>
    <mergeCell ref="L23:N23"/>
    <mergeCell ref="P23:Q23"/>
    <mergeCell ref="T23:U23"/>
    <mergeCell ref="V23:AE23"/>
    <mergeCell ref="C20:H20"/>
    <mergeCell ref="I20:K20"/>
    <mergeCell ref="L20:N20"/>
    <mergeCell ref="P20:Q20"/>
    <mergeCell ref="T20:U20"/>
    <mergeCell ref="V20:AE20"/>
    <mergeCell ref="C22:H22"/>
    <mergeCell ref="I22:K22"/>
    <mergeCell ref="L22:N22"/>
    <mergeCell ref="P22:Q22"/>
    <mergeCell ref="T22:U22"/>
    <mergeCell ref="V22:AE22"/>
  </mergeCells>
  <phoneticPr fontId="1"/>
  <conditionalFormatting sqref="V10 B7:T10 C32 L32 O32:P32 R32:T32 I32 B11:B32 V12:V32 C12:T31">
    <cfRule type="expression" dxfId="98" priority="53">
      <formula>$S7="○"</formula>
    </cfRule>
  </conditionalFormatting>
  <conditionalFormatting sqref="V11 C11:T11">
    <cfRule type="expression" dxfId="97" priority="38">
      <formula>$S11="○"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M7:N31 L7:L32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B1:AH22"/>
  <sheetViews>
    <sheetView showGridLines="0" view="pageBreakPreview" zoomScale="115" zoomScaleNormal="100" zoomScaleSheetLayoutView="115" workbookViewId="0">
      <selection activeCell="C18" sqref="C18:H18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仲間・グループ情報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264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9">
        <v>1</v>
      </c>
      <c r="C7" s="75" t="s">
        <v>368</v>
      </c>
      <c r="D7" s="37"/>
      <c r="E7" s="37"/>
      <c r="F7" s="37"/>
      <c r="G7" s="37"/>
      <c r="H7" s="38"/>
      <c r="I7" s="36" t="s">
        <v>377</v>
      </c>
      <c r="J7" s="37"/>
      <c r="K7" s="38"/>
      <c r="L7" s="36" t="s">
        <v>367</v>
      </c>
      <c r="M7" s="37"/>
      <c r="N7" s="38"/>
      <c r="O7" s="19">
        <v>2</v>
      </c>
      <c r="P7" s="36">
        <v>1</v>
      </c>
      <c r="Q7" s="38"/>
      <c r="R7" s="19"/>
      <c r="S7" s="19"/>
      <c r="T7" s="54"/>
      <c r="U7" s="59"/>
      <c r="V7" s="36" t="s">
        <v>369</v>
      </c>
      <c r="W7" s="37"/>
      <c r="X7" s="37"/>
      <c r="Y7" s="37"/>
      <c r="Z7" s="37"/>
      <c r="AA7" s="37"/>
      <c r="AB7" s="37"/>
      <c r="AC7" s="37"/>
      <c r="AD7" s="37"/>
      <c r="AE7" s="38"/>
    </row>
    <row r="8" spans="2:34" ht="15" customHeight="1" x14ac:dyDescent="0.15">
      <c r="B8" s="19">
        <v>2</v>
      </c>
      <c r="C8" s="75" t="s">
        <v>362</v>
      </c>
      <c r="D8" s="37"/>
      <c r="E8" s="37"/>
      <c r="F8" s="37"/>
      <c r="G8" s="37"/>
      <c r="H8" s="38"/>
      <c r="I8" s="53" t="s">
        <v>363</v>
      </c>
      <c r="J8" s="53"/>
      <c r="K8" s="53"/>
      <c r="L8" s="53" t="s">
        <v>365</v>
      </c>
      <c r="M8" s="53"/>
      <c r="N8" s="53"/>
      <c r="O8" s="19">
        <v>255</v>
      </c>
      <c r="P8" s="53"/>
      <c r="Q8" s="53"/>
      <c r="R8" s="19"/>
      <c r="S8" s="19"/>
      <c r="T8" s="74"/>
      <c r="U8" s="74"/>
      <c r="V8" s="36"/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9">
        <v>3</v>
      </c>
      <c r="C9" s="75" t="s">
        <v>268</v>
      </c>
      <c r="D9" s="37"/>
      <c r="E9" s="37"/>
      <c r="F9" s="37"/>
      <c r="G9" s="37"/>
      <c r="H9" s="38"/>
      <c r="I9" s="53" t="s">
        <v>127</v>
      </c>
      <c r="J9" s="53"/>
      <c r="K9" s="53"/>
      <c r="L9" s="53" t="s">
        <v>136</v>
      </c>
      <c r="M9" s="53"/>
      <c r="N9" s="53"/>
      <c r="O9" s="14">
        <v>255</v>
      </c>
      <c r="P9" s="53"/>
      <c r="Q9" s="53"/>
      <c r="R9" s="14"/>
      <c r="S9" s="14"/>
      <c r="T9" s="74"/>
      <c r="U9" s="74"/>
      <c r="V9" s="36"/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9">
        <v>4</v>
      </c>
      <c r="C10" s="75" t="s">
        <v>364</v>
      </c>
      <c r="D10" s="37"/>
      <c r="E10" s="37"/>
      <c r="F10" s="37"/>
      <c r="G10" s="37"/>
      <c r="H10" s="38"/>
      <c r="I10" s="53" t="s">
        <v>269</v>
      </c>
      <c r="J10" s="53"/>
      <c r="K10" s="53"/>
      <c r="L10" s="53" t="s">
        <v>136</v>
      </c>
      <c r="M10" s="53"/>
      <c r="N10" s="53"/>
      <c r="O10" s="14">
        <v>255</v>
      </c>
      <c r="P10" s="53"/>
      <c r="Q10" s="53"/>
      <c r="R10" s="14"/>
      <c r="S10" s="14"/>
      <c r="T10" s="74"/>
      <c r="U10" s="74"/>
      <c r="V10" s="36"/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9">
        <v>5</v>
      </c>
      <c r="C11" s="36" t="s">
        <v>267</v>
      </c>
      <c r="D11" s="37"/>
      <c r="E11" s="37"/>
      <c r="F11" s="37"/>
      <c r="G11" s="37"/>
      <c r="H11" s="38"/>
      <c r="I11" s="53" t="s">
        <v>270</v>
      </c>
      <c r="J11" s="53"/>
      <c r="K11" s="53"/>
      <c r="L11" s="53" t="s">
        <v>273</v>
      </c>
      <c r="M11" s="53"/>
      <c r="N11" s="53"/>
      <c r="O11" s="14"/>
      <c r="P11" s="53"/>
      <c r="Q11" s="53"/>
      <c r="R11" s="14"/>
      <c r="S11" s="14"/>
      <c r="T11" s="74"/>
      <c r="U11" s="74"/>
      <c r="V11" s="36"/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9">
        <v>6</v>
      </c>
      <c r="C12" s="75" t="s">
        <v>266</v>
      </c>
      <c r="D12" s="37"/>
      <c r="E12" s="37"/>
      <c r="F12" s="37"/>
      <c r="G12" s="37"/>
      <c r="H12" s="38"/>
      <c r="I12" s="53" t="s">
        <v>271</v>
      </c>
      <c r="J12" s="53"/>
      <c r="K12" s="53"/>
      <c r="L12" s="53" t="s">
        <v>134</v>
      </c>
      <c r="M12" s="53"/>
      <c r="N12" s="53"/>
      <c r="O12" s="14">
        <v>2</v>
      </c>
      <c r="P12" s="53">
        <v>0</v>
      </c>
      <c r="Q12" s="53"/>
      <c r="R12" s="14"/>
      <c r="S12" s="14"/>
      <c r="T12" s="74"/>
      <c r="U12" s="74"/>
      <c r="V12" s="36" t="s">
        <v>265</v>
      </c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9">
        <v>7</v>
      </c>
      <c r="C13" s="75" t="s">
        <v>359</v>
      </c>
      <c r="D13" s="37"/>
      <c r="E13" s="37"/>
      <c r="F13" s="37"/>
      <c r="G13" s="37"/>
      <c r="H13" s="38"/>
      <c r="I13" s="53" t="s">
        <v>360</v>
      </c>
      <c r="J13" s="53"/>
      <c r="K13" s="53"/>
      <c r="L13" s="53" t="s">
        <v>358</v>
      </c>
      <c r="M13" s="53"/>
      <c r="N13" s="53"/>
      <c r="O13" s="14">
        <v>2</v>
      </c>
      <c r="P13" s="53">
        <v>0</v>
      </c>
      <c r="Q13" s="53"/>
      <c r="R13" s="14"/>
      <c r="S13" s="14"/>
      <c r="T13" s="74"/>
      <c r="U13" s="74"/>
      <c r="V13" s="36" t="s">
        <v>361</v>
      </c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9">
        <v>8</v>
      </c>
      <c r="C14" s="75" t="s">
        <v>366</v>
      </c>
      <c r="D14" s="37"/>
      <c r="E14" s="37"/>
      <c r="F14" s="37"/>
      <c r="G14" s="37"/>
      <c r="H14" s="38"/>
      <c r="I14" s="53" t="s">
        <v>375</v>
      </c>
      <c r="J14" s="53"/>
      <c r="K14" s="53"/>
      <c r="L14" s="53" t="s">
        <v>367</v>
      </c>
      <c r="M14" s="53"/>
      <c r="N14" s="53"/>
      <c r="O14" s="14">
        <v>2</v>
      </c>
      <c r="P14" s="53">
        <v>0</v>
      </c>
      <c r="Q14" s="53"/>
      <c r="R14" s="14"/>
      <c r="S14" s="14"/>
      <c r="T14" s="74"/>
      <c r="U14" s="74"/>
      <c r="V14" s="36" t="s">
        <v>378</v>
      </c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/>
      <c r="C15" s="75"/>
      <c r="D15" s="37"/>
      <c r="E15" s="37"/>
      <c r="F15" s="37"/>
      <c r="G15" s="37"/>
      <c r="H15" s="38"/>
      <c r="I15" s="36"/>
      <c r="J15" s="37"/>
      <c r="K15" s="38"/>
      <c r="L15" s="36"/>
      <c r="M15" s="37"/>
      <c r="N15" s="38"/>
      <c r="O15" s="14"/>
      <c r="P15" s="36"/>
      <c r="Q15" s="38"/>
      <c r="R15" s="14"/>
      <c r="S15" s="14"/>
      <c r="T15" s="54"/>
      <c r="U15" s="59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/>
      <c r="C16" s="36"/>
      <c r="D16" s="37"/>
      <c r="E16" s="37"/>
      <c r="F16" s="37"/>
      <c r="G16" s="37"/>
      <c r="H16" s="38"/>
      <c r="I16" s="53"/>
      <c r="J16" s="53"/>
      <c r="K16" s="53"/>
      <c r="L16" s="53"/>
      <c r="M16" s="53"/>
      <c r="N16" s="53"/>
      <c r="O16" s="14"/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/>
      <c r="C17" s="75"/>
      <c r="D17" s="37"/>
      <c r="E17" s="37"/>
      <c r="F17" s="37"/>
      <c r="G17" s="37"/>
      <c r="H17" s="38"/>
      <c r="I17" s="53"/>
      <c r="J17" s="53"/>
      <c r="K17" s="53"/>
      <c r="L17" s="53"/>
      <c r="M17" s="53"/>
      <c r="N17" s="53"/>
      <c r="O17" s="14"/>
      <c r="P17" s="53"/>
      <c r="Q17" s="53"/>
      <c r="R17" s="14"/>
      <c r="S17" s="14"/>
      <c r="T17" s="74"/>
      <c r="U17" s="74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/>
      <c r="C18" s="75"/>
      <c r="D18" s="37"/>
      <c r="E18" s="37"/>
      <c r="F18" s="37"/>
      <c r="G18" s="37"/>
      <c r="H18" s="38"/>
      <c r="I18" s="53"/>
      <c r="J18" s="53"/>
      <c r="K18" s="53"/>
      <c r="L18" s="53"/>
      <c r="M18" s="53"/>
      <c r="N18" s="53"/>
      <c r="O18" s="14"/>
      <c r="P18" s="53"/>
      <c r="Q18" s="53"/>
      <c r="R18" s="14"/>
      <c r="S18" s="14"/>
      <c r="T18" s="74"/>
      <c r="U18" s="74"/>
      <c r="V18" s="36"/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4"/>
      <c r="C19" s="36"/>
      <c r="D19" s="37"/>
      <c r="E19" s="37"/>
      <c r="F19" s="37"/>
      <c r="G19" s="37"/>
      <c r="H19" s="38"/>
      <c r="I19" s="53"/>
      <c r="J19" s="53"/>
      <c r="K19" s="53"/>
      <c r="L19" s="53"/>
      <c r="M19" s="53"/>
      <c r="N19" s="53"/>
      <c r="O19" s="14"/>
      <c r="P19" s="53"/>
      <c r="Q19" s="53"/>
      <c r="R19" s="14"/>
      <c r="S19" s="14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14"/>
      <c r="C20" s="75"/>
      <c r="D20" s="37"/>
      <c r="E20" s="37"/>
      <c r="F20" s="37"/>
      <c r="G20" s="37"/>
      <c r="H20" s="38"/>
      <c r="I20" s="53"/>
      <c r="J20" s="53"/>
      <c r="K20" s="53"/>
      <c r="L20" s="53"/>
      <c r="M20" s="53"/>
      <c r="N20" s="53"/>
      <c r="O20" s="14"/>
      <c r="P20" s="53"/>
      <c r="Q20" s="53"/>
      <c r="R20" s="14"/>
      <c r="S20" s="14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  <row r="21" spans="2:31" ht="15" customHeight="1" x14ac:dyDescent="0.15">
      <c r="B21" s="14"/>
      <c r="C21" s="75"/>
      <c r="D21" s="37"/>
      <c r="E21" s="37"/>
      <c r="F21" s="37"/>
      <c r="G21" s="37"/>
      <c r="H21" s="38"/>
      <c r="I21" s="53"/>
      <c r="J21" s="53"/>
      <c r="K21" s="53"/>
      <c r="L21" s="53"/>
      <c r="M21" s="53"/>
      <c r="N21" s="53"/>
      <c r="O21" s="14"/>
      <c r="P21" s="53"/>
      <c r="Q21" s="53"/>
      <c r="R21" s="14"/>
      <c r="S21" s="14"/>
      <c r="T21" s="74"/>
      <c r="U21" s="74"/>
      <c r="V21" s="36"/>
      <c r="W21" s="37"/>
      <c r="X21" s="37"/>
      <c r="Y21" s="37"/>
      <c r="Z21" s="37"/>
      <c r="AA21" s="37"/>
      <c r="AB21" s="37"/>
      <c r="AC21" s="37"/>
      <c r="AD21" s="37"/>
      <c r="AE21" s="38"/>
    </row>
    <row r="22" spans="2:31" ht="15" customHeight="1" x14ac:dyDescent="0.15">
      <c r="B22" s="14"/>
      <c r="C22" s="36"/>
      <c r="D22" s="37"/>
      <c r="E22" s="37"/>
      <c r="F22" s="37"/>
      <c r="G22" s="37"/>
      <c r="H22" s="38"/>
      <c r="I22" s="53"/>
      <c r="J22" s="53"/>
      <c r="K22" s="53"/>
      <c r="L22" s="53"/>
      <c r="M22" s="53"/>
      <c r="N22" s="53"/>
      <c r="O22" s="14"/>
      <c r="P22" s="53"/>
      <c r="Q22" s="53"/>
      <c r="R22" s="14"/>
      <c r="S22" s="14"/>
      <c r="T22" s="74"/>
      <c r="U22" s="74"/>
      <c r="V22" s="36"/>
      <c r="W22" s="37"/>
      <c r="X22" s="37"/>
      <c r="Y22" s="37"/>
      <c r="Z22" s="37"/>
      <c r="AA22" s="37"/>
      <c r="AB22" s="37"/>
      <c r="AC22" s="37"/>
      <c r="AD22" s="37"/>
      <c r="AE22" s="38"/>
    </row>
  </sheetData>
  <mergeCells count="115"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B15:B22 C9:T10">
    <cfRule type="expression" dxfId="96" priority="19">
      <formula>$S9="○"</formula>
    </cfRule>
  </conditionalFormatting>
  <conditionalFormatting sqref="V11 C11:T11">
    <cfRule type="expression" dxfId="95" priority="18">
      <formula>$S11="○"</formula>
    </cfRule>
  </conditionalFormatting>
  <conditionalFormatting sqref="V13 C13:T13">
    <cfRule type="expression" dxfId="94" priority="17">
      <formula>$S13="○"</formula>
    </cfRule>
  </conditionalFormatting>
  <conditionalFormatting sqref="V14 C14:T14">
    <cfRule type="expression" dxfId="93" priority="16">
      <formula>$S14="○"</formula>
    </cfRule>
  </conditionalFormatting>
  <conditionalFormatting sqref="V15 C15:T15">
    <cfRule type="expression" dxfId="92" priority="15">
      <formula>$S15="○"</formula>
    </cfRule>
  </conditionalFormatting>
  <conditionalFormatting sqref="V16 C16:T16 C17:H17">
    <cfRule type="expression" dxfId="91" priority="14">
      <formula>$S16="○"</formula>
    </cfRule>
  </conditionalFormatting>
  <conditionalFormatting sqref="V17 I17:T17">
    <cfRule type="expression" dxfId="90" priority="13">
      <formula>$S17="○"</formula>
    </cfRule>
  </conditionalFormatting>
  <conditionalFormatting sqref="V18 C18:T18">
    <cfRule type="expression" dxfId="89" priority="12">
      <formula>$S18="○"</formula>
    </cfRule>
  </conditionalFormatting>
  <conditionalFormatting sqref="V19 C19:T19">
    <cfRule type="expression" dxfId="88" priority="11">
      <formula>$S19="○"</formula>
    </cfRule>
  </conditionalFormatting>
  <conditionalFormatting sqref="V20 C20:T20">
    <cfRule type="expression" dxfId="87" priority="10">
      <formula>$S20="○"</formula>
    </cfRule>
  </conditionalFormatting>
  <conditionalFormatting sqref="V21 C21:T21">
    <cfRule type="expression" dxfId="86" priority="9">
      <formula>$S21="○"</formula>
    </cfRule>
  </conditionalFormatting>
  <conditionalFormatting sqref="V12 C12:T12">
    <cfRule type="expression" dxfId="85" priority="8">
      <formula>$S12="○"</formula>
    </cfRule>
  </conditionalFormatting>
  <conditionalFormatting sqref="V22 C22:T22">
    <cfRule type="expression" dxfId="84" priority="7">
      <formula>$S22="○"</formula>
    </cfRule>
  </conditionalFormatting>
  <conditionalFormatting sqref="V8 C8:T8">
    <cfRule type="expression" dxfId="83" priority="3">
      <formula>$S8="○"</formula>
    </cfRule>
  </conditionalFormatting>
  <conditionalFormatting sqref="B7:B14">
    <cfRule type="expression" dxfId="82" priority="2">
      <formula>$S7="○"</formula>
    </cfRule>
  </conditionalFormatting>
  <conditionalFormatting sqref="V7 C7:T7">
    <cfRule type="expression" dxfId="81" priority="1">
      <formula>$S7="○"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2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B1:AH33"/>
  <sheetViews>
    <sheetView showGridLines="0" view="pageBreakPreview" zoomScale="115" zoomScaleNormal="100" zoomScaleSheetLayoutView="115" workbookViewId="0">
      <selection activeCell="V19" sqref="V18:AE19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仲間グループユーザー情報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274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370</v>
      </c>
      <c r="D7" s="37"/>
      <c r="E7" s="37"/>
      <c r="F7" s="37"/>
      <c r="G7" s="37"/>
      <c r="H7" s="38"/>
      <c r="I7" s="53" t="s">
        <v>277</v>
      </c>
      <c r="J7" s="53"/>
      <c r="K7" s="53"/>
      <c r="L7" s="53" t="s">
        <v>256</v>
      </c>
      <c r="M7" s="53"/>
      <c r="N7" s="53"/>
      <c r="O7" s="14">
        <v>11</v>
      </c>
      <c r="P7" s="53"/>
      <c r="Q7" s="53"/>
      <c r="R7" s="14"/>
      <c r="S7" s="14"/>
      <c r="T7" s="74"/>
      <c r="U7" s="74"/>
      <c r="V7" s="36" t="s">
        <v>371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262</v>
      </c>
      <c r="D8" s="37"/>
      <c r="E8" s="37"/>
      <c r="F8" s="37"/>
      <c r="G8" s="37"/>
      <c r="H8" s="38"/>
      <c r="I8" s="53" t="s">
        <v>278</v>
      </c>
      <c r="J8" s="53"/>
      <c r="K8" s="53"/>
      <c r="L8" s="53" t="s">
        <v>134</v>
      </c>
      <c r="M8" s="53"/>
      <c r="N8" s="53"/>
      <c r="O8" s="14">
        <v>11</v>
      </c>
      <c r="P8" s="53"/>
      <c r="Q8" s="53"/>
      <c r="R8" s="14"/>
      <c r="S8" s="14"/>
      <c r="T8" s="74"/>
      <c r="U8" s="74"/>
      <c r="V8" s="36" t="s">
        <v>237</v>
      </c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4">
        <v>3</v>
      </c>
      <c r="C9" s="75" t="s">
        <v>372</v>
      </c>
      <c r="D9" s="37"/>
      <c r="E9" s="37"/>
      <c r="F9" s="37"/>
      <c r="G9" s="37"/>
      <c r="H9" s="38"/>
      <c r="I9" s="53" t="s">
        <v>279</v>
      </c>
      <c r="J9" s="53"/>
      <c r="K9" s="53"/>
      <c r="L9" s="53" t="s">
        <v>134</v>
      </c>
      <c r="M9" s="53"/>
      <c r="N9" s="53"/>
      <c r="O9" s="14">
        <v>2</v>
      </c>
      <c r="P9" s="53">
        <v>0</v>
      </c>
      <c r="Q9" s="53"/>
      <c r="R9" s="14"/>
      <c r="S9" s="14"/>
      <c r="T9" s="74"/>
      <c r="U9" s="74"/>
      <c r="V9" s="36" t="s">
        <v>276</v>
      </c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4">
        <v>4</v>
      </c>
      <c r="C10" s="75" t="s">
        <v>373</v>
      </c>
      <c r="D10" s="37"/>
      <c r="E10" s="37"/>
      <c r="F10" s="37"/>
      <c r="G10" s="37"/>
      <c r="H10" s="38"/>
      <c r="I10" s="53" t="s">
        <v>379</v>
      </c>
      <c r="J10" s="53"/>
      <c r="K10" s="53"/>
      <c r="L10" s="53" t="s">
        <v>134</v>
      </c>
      <c r="M10" s="53"/>
      <c r="N10" s="53"/>
      <c r="O10" s="14">
        <v>2</v>
      </c>
      <c r="P10" s="53">
        <v>0</v>
      </c>
      <c r="Q10" s="53"/>
      <c r="R10" s="14"/>
      <c r="S10" s="14"/>
      <c r="T10" s="74"/>
      <c r="U10" s="74"/>
      <c r="V10" s="75" t="s">
        <v>275</v>
      </c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4">
        <v>5</v>
      </c>
      <c r="C11" s="75" t="s">
        <v>374</v>
      </c>
      <c r="D11" s="37"/>
      <c r="E11" s="37"/>
      <c r="F11" s="37"/>
      <c r="G11" s="37"/>
      <c r="H11" s="38"/>
      <c r="I11" s="53" t="s">
        <v>376</v>
      </c>
      <c r="J11" s="53"/>
      <c r="K11" s="53"/>
      <c r="L11" s="53" t="s">
        <v>367</v>
      </c>
      <c r="M11" s="53"/>
      <c r="N11" s="53"/>
      <c r="O11" s="14">
        <v>2</v>
      </c>
      <c r="P11" s="53">
        <v>0</v>
      </c>
      <c r="Q11" s="53"/>
      <c r="R11" s="14"/>
      <c r="S11" s="14"/>
      <c r="T11" s="74"/>
      <c r="U11" s="74"/>
      <c r="V11" s="36" t="s">
        <v>380</v>
      </c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4"/>
      <c r="C12" s="75"/>
      <c r="D12" s="37"/>
      <c r="E12" s="37"/>
      <c r="F12" s="37"/>
      <c r="G12" s="37"/>
      <c r="H12" s="38"/>
      <c r="I12" s="53"/>
      <c r="J12" s="53"/>
      <c r="K12" s="53"/>
      <c r="L12" s="53"/>
      <c r="M12" s="53"/>
      <c r="N12" s="53"/>
      <c r="O12" s="14"/>
      <c r="P12" s="53"/>
      <c r="Q12" s="53"/>
      <c r="R12" s="14"/>
      <c r="S12" s="14"/>
      <c r="T12" s="74"/>
      <c r="U12" s="74"/>
      <c r="V12" s="36"/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4"/>
      <c r="C13" s="75"/>
      <c r="D13" s="37"/>
      <c r="E13" s="37"/>
      <c r="F13" s="37"/>
      <c r="G13" s="37"/>
      <c r="H13" s="38"/>
      <c r="I13" s="53"/>
      <c r="J13" s="53"/>
      <c r="K13" s="53"/>
      <c r="L13" s="53"/>
      <c r="M13" s="53"/>
      <c r="N13" s="53"/>
      <c r="O13" s="14"/>
      <c r="P13" s="53"/>
      <c r="Q13" s="53"/>
      <c r="R13" s="14"/>
      <c r="S13" s="14"/>
      <c r="T13" s="74"/>
      <c r="U13" s="74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4"/>
      <c r="C14" s="75"/>
      <c r="D14" s="37"/>
      <c r="E14" s="37"/>
      <c r="F14" s="37"/>
      <c r="G14" s="37"/>
      <c r="H14" s="38"/>
      <c r="I14" s="53"/>
      <c r="J14" s="53"/>
      <c r="K14" s="53"/>
      <c r="L14" s="53"/>
      <c r="M14" s="53"/>
      <c r="N14" s="53"/>
      <c r="O14" s="14"/>
      <c r="P14" s="53"/>
      <c r="Q14" s="53"/>
      <c r="R14" s="14"/>
      <c r="S14" s="14"/>
      <c r="T14" s="74"/>
      <c r="U14" s="74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/>
      <c r="C15" s="36"/>
      <c r="D15" s="37"/>
      <c r="E15" s="37"/>
      <c r="F15" s="37"/>
      <c r="G15" s="37"/>
      <c r="H15" s="38"/>
      <c r="I15" s="36"/>
      <c r="J15" s="37"/>
      <c r="K15" s="38"/>
      <c r="L15" s="36"/>
      <c r="M15" s="37"/>
      <c r="N15" s="38"/>
      <c r="O15" s="14"/>
      <c r="P15" s="36"/>
      <c r="Q15" s="38"/>
      <c r="R15" s="14"/>
      <c r="S15" s="14"/>
      <c r="T15" s="54"/>
      <c r="U15" s="59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/>
      <c r="C16" s="36"/>
      <c r="D16" s="37"/>
      <c r="E16" s="37"/>
      <c r="F16" s="37"/>
      <c r="G16" s="37"/>
      <c r="H16" s="38"/>
      <c r="I16" s="53"/>
      <c r="J16" s="53"/>
      <c r="K16" s="53"/>
      <c r="L16" s="53"/>
      <c r="M16" s="53"/>
      <c r="N16" s="53"/>
      <c r="O16" s="14"/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/>
      <c r="C17" s="75"/>
      <c r="D17" s="37"/>
      <c r="E17" s="37"/>
      <c r="F17" s="37"/>
      <c r="G17" s="37"/>
      <c r="H17" s="38"/>
      <c r="I17" s="53"/>
      <c r="J17" s="53"/>
      <c r="K17" s="53"/>
      <c r="L17" s="53"/>
      <c r="M17" s="53"/>
      <c r="N17" s="53"/>
      <c r="O17" s="14"/>
      <c r="P17" s="53"/>
      <c r="Q17" s="53"/>
      <c r="R17" s="14"/>
      <c r="S17" s="14"/>
      <c r="T17" s="74"/>
      <c r="U17" s="74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/>
      <c r="C18" s="75"/>
      <c r="D18" s="37"/>
      <c r="E18" s="37"/>
      <c r="F18" s="37"/>
      <c r="G18" s="37"/>
      <c r="H18" s="38"/>
      <c r="I18" s="53"/>
      <c r="J18" s="53"/>
      <c r="K18" s="53"/>
      <c r="L18" s="53"/>
      <c r="M18" s="53"/>
      <c r="N18" s="53"/>
      <c r="O18" s="14"/>
      <c r="P18" s="53"/>
      <c r="Q18" s="53"/>
      <c r="R18" s="14"/>
      <c r="S18" s="14"/>
      <c r="T18" s="74"/>
      <c r="U18" s="74"/>
      <c r="V18" s="36"/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4"/>
      <c r="C19" s="36"/>
      <c r="D19" s="37"/>
      <c r="E19" s="37"/>
      <c r="F19" s="37"/>
      <c r="G19" s="37"/>
      <c r="H19" s="38"/>
      <c r="I19" s="53"/>
      <c r="J19" s="53"/>
      <c r="K19" s="53"/>
      <c r="L19" s="53"/>
      <c r="M19" s="53"/>
      <c r="N19" s="53"/>
      <c r="O19" s="14"/>
      <c r="P19" s="53"/>
      <c r="Q19" s="53"/>
      <c r="R19" s="14"/>
      <c r="S19" s="14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14"/>
      <c r="C20" s="75"/>
      <c r="D20" s="37"/>
      <c r="E20" s="37"/>
      <c r="F20" s="37"/>
      <c r="G20" s="37"/>
      <c r="H20" s="38"/>
      <c r="I20" s="53"/>
      <c r="J20" s="53"/>
      <c r="K20" s="53"/>
      <c r="L20" s="53"/>
      <c r="M20" s="53"/>
      <c r="N20" s="53"/>
      <c r="O20" s="14"/>
      <c r="P20" s="53"/>
      <c r="Q20" s="53"/>
      <c r="R20" s="14"/>
      <c r="S20" s="14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  <row r="21" spans="2:31" ht="15" customHeight="1" x14ac:dyDescent="0.15">
      <c r="B21" s="14"/>
      <c r="C21" s="75"/>
      <c r="D21" s="37"/>
      <c r="E21" s="37"/>
      <c r="F21" s="37"/>
      <c r="G21" s="37"/>
      <c r="H21" s="38"/>
      <c r="I21" s="53"/>
      <c r="J21" s="53"/>
      <c r="K21" s="53"/>
      <c r="L21" s="53"/>
      <c r="M21" s="53"/>
      <c r="N21" s="53"/>
      <c r="O21" s="14"/>
      <c r="P21" s="53"/>
      <c r="Q21" s="53"/>
      <c r="R21" s="14"/>
      <c r="S21" s="14"/>
      <c r="T21" s="74"/>
      <c r="U21" s="74"/>
      <c r="V21" s="36"/>
      <c r="W21" s="37"/>
      <c r="X21" s="37"/>
      <c r="Y21" s="37"/>
      <c r="Z21" s="37"/>
      <c r="AA21" s="37"/>
      <c r="AB21" s="37"/>
      <c r="AC21" s="37"/>
      <c r="AD21" s="37"/>
      <c r="AE21" s="38"/>
    </row>
    <row r="22" spans="2:31" ht="15" customHeight="1" x14ac:dyDescent="0.15">
      <c r="B22" s="14"/>
      <c r="C22" s="36"/>
      <c r="D22" s="37"/>
      <c r="E22" s="37"/>
      <c r="F22" s="37"/>
      <c r="G22" s="37"/>
      <c r="H22" s="38"/>
      <c r="I22" s="53"/>
      <c r="J22" s="53"/>
      <c r="K22" s="53"/>
      <c r="L22" s="53"/>
      <c r="M22" s="53"/>
      <c r="N22" s="53"/>
      <c r="O22" s="14"/>
      <c r="P22" s="53"/>
      <c r="Q22" s="53"/>
      <c r="R22" s="14"/>
      <c r="S22" s="14"/>
      <c r="T22" s="74"/>
      <c r="U22" s="74"/>
      <c r="V22" s="36"/>
      <c r="W22" s="37"/>
      <c r="X22" s="37"/>
      <c r="Y22" s="37"/>
      <c r="Z22" s="37"/>
      <c r="AA22" s="37"/>
      <c r="AB22" s="37"/>
      <c r="AC22" s="37"/>
      <c r="AD22" s="37"/>
      <c r="AE22" s="38"/>
    </row>
    <row r="33" ht="11.25" x14ac:dyDescent="0.15"/>
  </sheetData>
  <mergeCells count="115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V10 B7:T8 C9:T10 B9:B22">
    <cfRule type="expression" dxfId="80" priority="13">
      <formula>$S7="○"</formula>
    </cfRule>
  </conditionalFormatting>
  <conditionalFormatting sqref="V11 C11:T11">
    <cfRule type="expression" dxfId="79" priority="12">
      <formula>$S11="○"</formula>
    </cfRule>
  </conditionalFormatting>
  <conditionalFormatting sqref="V13 C13:T13">
    <cfRule type="expression" dxfId="78" priority="11">
      <formula>$S13="○"</formula>
    </cfRule>
  </conditionalFormatting>
  <conditionalFormatting sqref="V14 C14:T14">
    <cfRule type="expression" dxfId="77" priority="10">
      <formula>$S14="○"</formula>
    </cfRule>
  </conditionalFormatting>
  <conditionalFormatting sqref="V15 C15:T15">
    <cfRule type="expression" dxfId="76" priority="9">
      <formula>$S15="○"</formula>
    </cfRule>
  </conditionalFormatting>
  <conditionalFormatting sqref="V16 C16:T16 C17:H17">
    <cfRule type="expression" dxfId="75" priority="8">
      <formula>$S16="○"</formula>
    </cfRule>
  </conditionalFormatting>
  <conditionalFormatting sqref="V17 I17:T17">
    <cfRule type="expression" dxfId="74" priority="7">
      <formula>$S17="○"</formula>
    </cfRule>
  </conditionalFormatting>
  <conditionalFormatting sqref="V18 C18:T18">
    <cfRule type="expression" dxfId="73" priority="6">
      <formula>$S18="○"</formula>
    </cfRule>
  </conditionalFormatting>
  <conditionalFormatting sqref="V19 C19:T19">
    <cfRule type="expression" dxfId="72" priority="5">
      <formula>$S19="○"</formula>
    </cfRule>
  </conditionalFormatting>
  <conditionalFormatting sqref="V20 C20:T20">
    <cfRule type="expression" dxfId="71" priority="4">
      <formula>$S20="○"</formula>
    </cfRule>
  </conditionalFormatting>
  <conditionalFormatting sqref="V21 C21:T21">
    <cfRule type="expression" dxfId="70" priority="3">
      <formula>$S21="○"</formula>
    </cfRule>
  </conditionalFormatting>
  <conditionalFormatting sqref="V12 C12:T12">
    <cfRule type="expression" dxfId="69" priority="2">
      <formula>$S12="○"</formula>
    </cfRule>
  </conditionalFormatting>
  <conditionalFormatting sqref="V22 C22:T22">
    <cfRule type="expression" dxfId="68" priority="1">
      <formula>$S22="○"</formula>
    </cfRule>
  </conditionalFormatting>
  <dataValidations count="2">
    <dataValidation type="list" allowBlank="1" showInputMessage="1" showErrorMessage="1" sqref="L7:N22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B1:AH21"/>
  <sheetViews>
    <sheetView showGridLines="0" view="pageBreakPreview" zoomScale="115" zoomScaleNormal="100" zoomScaleSheetLayoutView="115" workbookViewId="0">
      <selection activeCell="K27" sqref="K27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メッセージフィールド情報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340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282</v>
      </c>
      <c r="D7" s="37"/>
      <c r="E7" s="37"/>
      <c r="F7" s="37"/>
      <c r="G7" s="37"/>
      <c r="H7" s="38"/>
      <c r="I7" s="53" t="s">
        <v>284</v>
      </c>
      <c r="J7" s="53"/>
      <c r="K7" s="53"/>
      <c r="L7" s="53" t="s">
        <v>285</v>
      </c>
      <c r="M7" s="53"/>
      <c r="N7" s="53"/>
      <c r="O7" s="14">
        <v>2</v>
      </c>
      <c r="P7" s="53">
        <v>0</v>
      </c>
      <c r="Q7" s="53"/>
      <c r="R7" s="14"/>
      <c r="S7" s="14"/>
      <c r="T7" s="74"/>
      <c r="U7" s="74"/>
      <c r="V7" s="36" t="s">
        <v>283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281</v>
      </c>
      <c r="D8" s="37"/>
      <c r="E8" s="37"/>
      <c r="F8" s="37"/>
      <c r="G8" s="37"/>
      <c r="H8" s="38"/>
      <c r="I8" s="53" t="s">
        <v>122</v>
      </c>
      <c r="J8" s="53"/>
      <c r="K8" s="53"/>
      <c r="L8" s="53" t="s">
        <v>134</v>
      </c>
      <c r="M8" s="53"/>
      <c r="N8" s="53"/>
      <c r="O8" s="14">
        <v>11</v>
      </c>
      <c r="P8" s="53"/>
      <c r="Q8" s="53"/>
      <c r="R8" s="14"/>
      <c r="S8" s="14"/>
      <c r="T8" s="74"/>
      <c r="U8" s="74"/>
      <c r="V8" s="36" t="s">
        <v>135</v>
      </c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4">
        <v>3</v>
      </c>
      <c r="C9" s="75" t="s">
        <v>280</v>
      </c>
      <c r="D9" s="37"/>
      <c r="E9" s="37"/>
      <c r="F9" s="37"/>
      <c r="G9" s="37"/>
      <c r="H9" s="38"/>
      <c r="I9" s="53" t="s">
        <v>286</v>
      </c>
      <c r="J9" s="53"/>
      <c r="K9" s="53"/>
      <c r="L9" s="53" t="s">
        <v>134</v>
      </c>
      <c r="M9" s="53"/>
      <c r="N9" s="53"/>
      <c r="O9" s="14">
        <v>11</v>
      </c>
      <c r="P9" s="53"/>
      <c r="Q9" s="53"/>
      <c r="R9" s="14"/>
      <c r="S9" s="14"/>
      <c r="T9" s="74"/>
      <c r="U9" s="74"/>
      <c r="V9" s="75"/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4">
        <v>4</v>
      </c>
      <c r="C10" s="36" t="s">
        <v>355</v>
      </c>
      <c r="D10" s="37"/>
      <c r="E10" s="37"/>
      <c r="F10" s="37"/>
      <c r="G10" s="37"/>
      <c r="H10" s="38"/>
      <c r="I10" s="53" t="s">
        <v>356</v>
      </c>
      <c r="J10" s="53"/>
      <c r="K10" s="53"/>
      <c r="L10" s="53" t="s">
        <v>357</v>
      </c>
      <c r="M10" s="53"/>
      <c r="N10" s="53"/>
      <c r="O10" s="14"/>
      <c r="P10" s="53"/>
      <c r="Q10" s="53"/>
      <c r="R10" s="14"/>
      <c r="S10" s="14"/>
      <c r="T10" s="74"/>
      <c r="U10" s="74"/>
      <c r="V10" s="36"/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4"/>
      <c r="C11" s="75"/>
      <c r="D11" s="37"/>
      <c r="E11" s="37"/>
      <c r="F11" s="37"/>
      <c r="G11" s="37"/>
      <c r="H11" s="38"/>
      <c r="I11" s="53"/>
      <c r="J11" s="53"/>
      <c r="K11" s="53"/>
      <c r="L11" s="53"/>
      <c r="M11" s="53"/>
      <c r="N11" s="53"/>
      <c r="O11" s="14"/>
      <c r="P11" s="53"/>
      <c r="Q11" s="53"/>
      <c r="R11" s="14"/>
      <c r="S11" s="14"/>
      <c r="T11" s="74"/>
      <c r="U11" s="74"/>
      <c r="V11" s="36"/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4"/>
      <c r="C12" s="75"/>
      <c r="D12" s="37"/>
      <c r="E12" s="37"/>
      <c r="F12" s="37"/>
      <c r="G12" s="37"/>
      <c r="H12" s="38"/>
      <c r="I12" s="53"/>
      <c r="J12" s="53"/>
      <c r="K12" s="53"/>
      <c r="L12" s="53"/>
      <c r="M12" s="53"/>
      <c r="N12" s="53"/>
      <c r="O12" s="14"/>
      <c r="P12" s="53"/>
      <c r="Q12" s="53"/>
      <c r="R12" s="14"/>
      <c r="S12" s="14"/>
      <c r="T12" s="74"/>
      <c r="U12" s="74"/>
      <c r="V12" s="36"/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4"/>
      <c r="C13" s="75"/>
      <c r="D13" s="37"/>
      <c r="E13" s="37"/>
      <c r="F13" s="37"/>
      <c r="G13" s="37"/>
      <c r="H13" s="38"/>
      <c r="I13" s="53"/>
      <c r="J13" s="53"/>
      <c r="K13" s="53"/>
      <c r="L13" s="53"/>
      <c r="M13" s="53"/>
      <c r="N13" s="53"/>
      <c r="O13" s="14"/>
      <c r="P13" s="53"/>
      <c r="Q13" s="53"/>
      <c r="R13" s="14"/>
      <c r="S13" s="14"/>
      <c r="T13" s="74"/>
      <c r="U13" s="74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4"/>
      <c r="C14" s="36"/>
      <c r="D14" s="37"/>
      <c r="E14" s="37"/>
      <c r="F14" s="37"/>
      <c r="G14" s="37"/>
      <c r="H14" s="38"/>
      <c r="I14" s="36"/>
      <c r="J14" s="37"/>
      <c r="K14" s="38"/>
      <c r="L14" s="36"/>
      <c r="M14" s="37"/>
      <c r="N14" s="38"/>
      <c r="O14" s="14"/>
      <c r="P14" s="36"/>
      <c r="Q14" s="38"/>
      <c r="R14" s="14"/>
      <c r="S14" s="14"/>
      <c r="T14" s="54"/>
      <c r="U14" s="59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/>
      <c r="C15" s="36"/>
      <c r="D15" s="37"/>
      <c r="E15" s="37"/>
      <c r="F15" s="37"/>
      <c r="G15" s="37"/>
      <c r="H15" s="38"/>
      <c r="I15" s="53"/>
      <c r="J15" s="53"/>
      <c r="K15" s="53"/>
      <c r="L15" s="53"/>
      <c r="M15" s="53"/>
      <c r="N15" s="53"/>
      <c r="O15" s="14"/>
      <c r="P15" s="53"/>
      <c r="Q15" s="53"/>
      <c r="R15" s="14"/>
      <c r="S15" s="14"/>
      <c r="T15" s="74"/>
      <c r="U15" s="74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/>
      <c r="C16" s="75"/>
      <c r="D16" s="37"/>
      <c r="E16" s="37"/>
      <c r="F16" s="37"/>
      <c r="G16" s="37"/>
      <c r="H16" s="38"/>
      <c r="I16" s="53"/>
      <c r="J16" s="53"/>
      <c r="K16" s="53"/>
      <c r="L16" s="53"/>
      <c r="M16" s="53"/>
      <c r="N16" s="53"/>
      <c r="O16" s="14"/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/>
      <c r="C17" s="75"/>
      <c r="D17" s="37"/>
      <c r="E17" s="37"/>
      <c r="F17" s="37"/>
      <c r="G17" s="37"/>
      <c r="H17" s="38"/>
      <c r="I17" s="53"/>
      <c r="J17" s="53"/>
      <c r="K17" s="53"/>
      <c r="L17" s="53"/>
      <c r="M17" s="53"/>
      <c r="N17" s="53"/>
      <c r="O17" s="14"/>
      <c r="P17" s="53"/>
      <c r="Q17" s="53"/>
      <c r="R17" s="14"/>
      <c r="S17" s="14"/>
      <c r="T17" s="74"/>
      <c r="U17" s="74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/>
      <c r="C18" s="36"/>
      <c r="D18" s="37"/>
      <c r="E18" s="37"/>
      <c r="F18" s="37"/>
      <c r="G18" s="37"/>
      <c r="H18" s="38"/>
      <c r="I18" s="53"/>
      <c r="J18" s="53"/>
      <c r="K18" s="53"/>
      <c r="L18" s="53"/>
      <c r="M18" s="53"/>
      <c r="N18" s="53"/>
      <c r="O18" s="14"/>
      <c r="P18" s="53"/>
      <c r="Q18" s="53"/>
      <c r="R18" s="14"/>
      <c r="S18" s="14"/>
      <c r="T18" s="74"/>
      <c r="U18" s="74"/>
      <c r="V18" s="36"/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4"/>
      <c r="C19" s="75"/>
      <c r="D19" s="37"/>
      <c r="E19" s="37"/>
      <c r="F19" s="37"/>
      <c r="G19" s="37"/>
      <c r="H19" s="38"/>
      <c r="I19" s="53"/>
      <c r="J19" s="53"/>
      <c r="K19" s="53"/>
      <c r="L19" s="53"/>
      <c r="M19" s="53"/>
      <c r="N19" s="53"/>
      <c r="O19" s="14"/>
      <c r="P19" s="53"/>
      <c r="Q19" s="53"/>
      <c r="R19" s="14"/>
      <c r="S19" s="14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14"/>
      <c r="C20" s="75"/>
      <c r="D20" s="37"/>
      <c r="E20" s="37"/>
      <c r="F20" s="37"/>
      <c r="G20" s="37"/>
      <c r="H20" s="38"/>
      <c r="I20" s="53"/>
      <c r="J20" s="53"/>
      <c r="K20" s="53"/>
      <c r="L20" s="53"/>
      <c r="M20" s="53"/>
      <c r="N20" s="53"/>
      <c r="O20" s="14"/>
      <c r="P20" s="53"/>
      <c r="Q20" s="53"/>
      <c r="R20" s="14"/>
      <c r="S20" s="14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  <row r="21" spans="2:31" ht="15" customHeight="1" x14ac:dyDescent="0.15">
      <c r="B21" s="14"/>
      <c r="C21" s="36"/>
      <c r="D21" s="37"/>
      <c r="E21" s="37"/>
      <c r="F21" s="37"/>
      <c r="G21" s="37"/>
      <c r="H21" s="38"/>
      <c r="I21" s="53"/>
      <c r="J21" s="53"/>
      <c r="K21" s="53"/>
      <c r="L21" s="53"/>
      <c r="M21" s="53"/>
      <c r="N21" s="53"/>
      <c r="O21" s="14"/>
      <c r="P21" s="53"/>
      <c r="Q21" s="53"/>
      <c r="R21" s="14"/>
      <c r="S21" s="14"/>
      <c r="T21" s="74"/>
      <c r="U21" s="74"/>
      <c r="V21" s="36"/>
      <c r="W21" s="37"/>
      <c r="X21" s="37"/>
      <c r="Y21" s="37"/>
      <c r="Z21" s="37"/>
      <c r="AA21" s="37"/>
      <c r="AB21" s="37"/>
      <c r="AC21" s="37"/>
      <c r="AD21" s="37"/>
      <c r="AE21" s="38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9 C8:T9 B8:B21 B7:T7">
    <cfRule type="expression" dxfId="67" priority="13">
      <formula>$S7="○"</formula>
    </cfRule>
  </conditionalFormatting>
  <conditionalFormatting sqref="V10 C10:T10">
    <cfRule type="expression" dxfId="66" priority="12">
      <formula>$S10="○"</formula>
    </cfRule>
  </conditionalFormatting>
  <conditionalFormatting sqref="V12 C12:T12">
    <cfRule type="expression" dxfId="65" priority="11">
      <formula>$S12="○"</formula>
    </cfRule>
  </conditionalFormatting>
  <conditionalFormatting sqref="V13 C13:T13">
    <cfRule type="expression" dxfId="64" priority="10">
      <formula>$S13="○"</formula>
    </cfRule>
  </conditionalFormatting>
  <conditionalFormatting sqref="V14 C14:T14">
    <cfRule type="expression" dxfId="63" priority="9">
      <formula>$S14="○"</formula>
    </cfRule>
  </conditionalFormatting>
  <conditionalFormatting sqref="V15 C15:T15 C16:H16">
    <cfRule type="expression" dxfId="62" priority="8">
      <formula>$S15="○"</formula>
    </cfRule>
  </conditionalFormatting>
  <conditionalFormatting sqref="V16 I16:T16">
    <cfRule type="expression" dxfId="61" priority="7">
      <formula>$S16="○"</formula>
    </cfRule>
  </conditionalFormatting>
  <conditionalFormatting sqref="V17 C17:T17">
    <cfRule type="expression" dxfId="60" priority="6">
      <formula>$S17="○"</formula>
    </cfRule>
  </conditionalFormatting>
  <conditionalFormatting sqref="V18 C18:T18">
    <cfRule type="expression" dxfId="59" priority="5">
      <formula>$S18="○"</formula>
    </cfRule>
  </conditionalFormatting>
  <conditionalFormatting sqref="V19 C19:T19">
    <cfRule type="expression" dxfId="58" priority="4">
      <formula>$S19="○"</formula>
    </cfRule>
  </conditionalFormatting>
  <conditionalFormatting sqref="V20 C20:T20">
    <cfRule type="expression" dxfId="57" priority="3">
      <formula>$S20="○"</formula>
    </cfRule>
  </conditionalFormatting>
  <conditionalFormatting sqref="V11 C11:T11">
    <cfRule type="expression" dxfId="56" priority="2">
      <formula>$S11="○"</formula>
    </cfRule>
  </conditionalFormatting>
  <conditionalFormatting sqref="V21 C21:T21">
    <cfRule type="expression" dxfId="55" priority="1">
      <formula>$S21="○"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1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B1:AH21"/>
  <sheetViews>
    <sheetView showGridLines="0" view="pageBreakPreview" zoomScale="115" zoomScaleNormal="100" zoomScaleSheetLayoutView="115" workbookViewId="0">
      <selection activeCell="V10" sqref="V10:AE10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メッセージフィールドユーザー情報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287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289</v>
      </c>
      <c r="D7" s="37"/>
      <c r="E7" s="37"/>
      <c r="F7" s="37"/>
      <c r="G7" s="37"/>
      <c r="H7" s="38"/>
      <c r="I7" s="53" t="s">
        <v>290</v>
      </c>
      <c r="J7" s="53"/>
      <c r="K7" s="53"/>
      <c r="L7" s="53" t="s">
        <v>134</v>
      </c>
      <c r="M7" s="53"/>
      <c r="N7" s="53"/>
      <c r="O7" s="14">
        <v>11</v>
      </c>
      <c r="P7" s="53"/>
      <c r="Q7" s="53"/>
      <c r="R7" s="14"/>
      <c r="S7" s="14"/>
      <c r="T7" s="74"/>
      <c r="U7" s="74"/>
      <c r="V7" s="36" t="s">
        <v>292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288</v>
      </c>
      <c r="D8" s="37"/>
      <c r="E8" s="37"/>
      <c r="F8" s="37"/>
      <c r="G8" s="37"/>
      <c r="H8" s="38"/>
      <c r="I8" s="53" t="s">
        <v>291</v>
      </c>
      <c r="J8" s="53"/>
      <c r="K8" s="53"/>
      <c r="L8" s="53" t="s">
        <v>211</v>
      </c>
      <c r="M8" s="53"/>
      <c r="N8" s="53"/>
      <c r="O8" s="14">
        <v>11</v>
      </c>
      <c r="P8" s="53"/>
      <c r="Q8" s="53"/>
      <c r="R8" s="14"/>
      <c r="S8" s="14"/>
      <c r="T8" s="74"/>
      <c r="U8" s="74"/>
      <c r="V8" s="36" t="s">
        <v>105</v>
      </c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4">
        <v>3</v>
      </c>
      <c r="C9" s="75" t="s">
        <v>468</v>
      </c>
      <c r="D9" s="37"/>
      <c r="E9" s="37"/>
      <c r="F9" s="37"/>
      <c r="G9" s="37"/>
      <c r="H9" s="38"/>
      <c r="I9" s="53" t="s">
        <v>469</v>
      </c>
      <c r="J9" s="53"/>
      <c r="K9" s="53"/>
      <c r="L9" s="53" t="s">
        <v>470</v>
      </c>
      <c r="M9" s="53"/>
      <c r="N9" s="53"/>
      <c r="O9" s="14">
        <v>2</v>
      </c>
      <c r="P9" s="53">
        <v>0</v>
      </c>
      <c r="Q9" s="53"/>
      <c r="R9" s="14"/>
      <c r="S9" s="14"/>
      <c r="T9" s="74"/>
      <c r="U9" s="74"/>
      <c r="V9" s="75" t="s">
        <v>471</v>
      </c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4">
        <v>4</v>
      </c>
      <c r="C10" s="36" t="s">
        <v>479</v>
      </c>
      <c r="D10" s="37"/>
      <c r="E10" s="37"/>
      <c r="F10" s="37"/>
      <c r="G10" s="37"/>
      <c r="H10" s="38"/>
      <c r="I10" s="53" t="s">
        <v>478</v>
      </c>
      <c r="J10" s="53"/>
      <c r="K10" s="53"/>
      <c r="L10" s="53" t="s">
        <v>475</v>
      </c>
      <c r="M10" s="53"/>
      <c r="N10" s="53"/>
      <c r="O10" s="14">
        <v>2</v>
      </c>
      <c r="P10" s="53">
        <v>0</v>
      </c>
      <c r="Q10" s="53"/>
      <c r="R10" s="14"/>
      <c r="S10" s="14"/>
      <c r="T10" s="74"/>
      <c r="U10" s="74"/>
      <c r="V10" s="36" t="s">
        <v>480</v>
      </c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4"/>
      <c r="C11" s="75"/>
      <c r="D11" s="37"/>
      <c r="E11" s="37"/>
      <c r="F11" s="37"/>
      <c r="G11" s="37"/>
      <c r="H11" s="38"/>
      <c r="I11" s="53"/>
      <c r="J11" s="53"/>
      <c r="K11" s="53"/>
      <c r="L11" s="53"/>
      <c r="M11" s="53"/>
      <c r="N11" s="53"/>
      <c r="O11" s="14"/>
      <c r="P11" s="53"/>
      <c r="Q11" s="53"/>
      <c r="R11" s="14"/>
      <c r="S11" s="14"/>
      <c r="T11" s="74"/>
      <c r="U11" s="74"/>
      <c r="V11" s="36"/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4"/>
      <c r="C12" s="75"/>
      <c r="D12" s="37"/>
      <c r="E12" s="37"/>
      <c r="F12" s="37"/>
      <c r="G12" s="37"/>
      <c r="H12" s="38"/>
      <c r="I12" s="53"/>
      <c r="J12" s="53"/>
      <c r="K12" s="53"/>
      <c r="L12" s="53"/>
      <c r="M12" s="53"/>
      <c r="N12" s="53"/>
      <c r="O12" s="14"/>
      <c r="P12" s="53"/>
      <c r="Q12" s="53"/>
      <c r="R12" s="14"/>
      <c r="S12" s="14"/>
      <c r="T12" s="74"/>
      <c r="U12" s="74"/>
      <c r="V12" s="36"/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4"/>
      <c r="C13" s="75"/>
      <c r="D13" s="37"/>
      <c r="E13" s="37"/>
      <c r="F13" s="37"/>
      <c r="G13" s="37"/>
      <c r="H13" s="38"/>
      <c r="I13" s="53"/>
      <c r="J13" s="53"/>
      <c r="K13" s="53"/>
      <c r="L13" s="53"/>
      <c r="M13" s="53"/>
      <c r="N13" s="53"/>
      <c r="O13" s="14"/>
      <c r="P13" s="53"/>
      <c r="Q13" s="53"/>
      <c r="R13" s="14"/>
      <c r="S13" s="14"/>
      <c r="T13" s="74"/>
      <c r="U13" s="74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4"/>
      <c r="C14" s="36"/>
      <c r="D14" s="37"/>
      <c r="E14" s="37"/>
      <c r="F14" s="37"/>
      <c r="G14" s="37"/>
      <c r="H14" s="38"/>
      <c r="I14" s="36"/>
      <c r="J14" s="37"/>
      <c r="K14" s="38"/>
      <c r="L14" s="36"/>
      <c r="M14" s="37"/>
      <c r="N14" s="38"/>
      <c r="O14" s="14"/>
      <c r="P14" s="36"/>
      <c r="Q14" s="38"/>
      <c r="R14" s="14"/>
      <c r="S14" s="14"/>
      <c r="T14" s="54"/>
      <c r="U14" s="59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/>
      <c r="C15" s="36"/>
      <c r="D15" s="37"/>
      <c r="E15" s="37"/>
      <c r="F15" s="37"/>
      <c r="G15" s="37"/>
      <c r="H15" s="38"/>
      <c r="I15" s="53"/>
      <c r="J15" s="53"/>
      <c r="K15" s="53"/>
      <c r="L15" s="53"/>
      <c r="M15" s="53"/>
      <c r="N15" s="53"/>
      <c r="O15" s="14"/>
      <c r="P15" s="53"/>
      <c r="Q15" s="53"/>
      <c r="R15" s="14"/>
      <c r="S15" s="14"/>
      <c r="T15" s="74"/>
      <c r="U15" s="74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/>
      <c r="C16" s="75"/>
      <c r="D16" s="37"/>
      <c r="E16" s="37"/>
      <c r="F16" s="37"/>
      <c r="G16" s="37"/>
      <c r="H16" s="38"/>
      <c r="I16" s="53"/>
      <c r="J16" s="53"/>
      <c r="K16" s="53"/>
      <c r="L16" s="53"/>
      <c r="M16" s="53"/>
      <c r="N16" s="53"/>
      <c r="O16" s="14"/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/>
      <c r="C17" s="75"/>
      <c r="D17" s="37"/>
      <c r="E17" s="37"/>
      <c r="F17" s="37"/>
      <c r="G17" s="37"/>
      <c r="H17" s="38"/>
      <c r="I17" s="53"/>
      <c r="J17" s="53"/>
      <c r="K17" s="53"/>
      <c r="L17" s="53"/>
      <c r="M17" s="53"/>
      <c r="N17" s="53"/>
      <c r="O17" s="14"/>
      <c r="P17" s="53"/>
      <c r="Q17" s="53"/>
      <c r="R17" s="14"/>
      <c r="S17" s="14"/>
      <c r="T17" s="74"/>
      <c r="U17" s="74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/>
      <c r="C18" s="36"/>
      <c r="D18" s="37"/>
      <c r="E18" s="37"/>
      <c r="F18" s="37"/>
      <c r="G18" s="37"/>
      <c r="H18" s="38"/>
      <c r="I18" s="53"/>
      <c r="J18" s="53"/>
      <c r="K18" s="53"/>
      <c r="L18" s="53"/>
      <c r="M18" s="53"/>
      <c r="N18" s="53"/>
      <c r="O18" s="14"/>
      <c r="P18" s="53"/>
      <c r="Q18" s="53"/>
      <c r="R18" s="14"/>
      <c r="S18" s="14"/>
      <c r="T18" s="74"/>
      <c r="U18" s="74"/>
      <c r="V18" s="36"/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4"/>
      <c r="C19" s="75"/>
      <c r="D19" s="37"/>
      <c r="E19" s="37"/>
      <c r="F19" s="37"/>
      <c r="G19" s="37"/>
      <c r="H19" s="38"/>
      <c r="I19" s="53"/>
      <c r="J19" s="53"/>
      <c r="K19" s="53"/>
      <c r="L19" s="53"/>
      <c r="M19" s="53"/>
      <c r="N19" s="53"/>
      <c r="O19" s="14"/>
      <c r="P19" s="53"/>
      <c r="Q19" s="53"/>
      <c r="R19" s="14"/>
      <c r="S19" s="14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14"/>
      <c r="C20" s="75"/>
      <c r="D20" s="37"/>
      <c r="E20" s="37"/>
      <c r="F20" s="37"/>
      <c r="G20" s="37"/>
      <c r="H20" s="38"/>
      <c r="I20" s="53"/>
      <c r="J20" s="53"/>
      <c r="K20" s="53"/>
      <c r="L20" s="53"/>
      <c r="M20" s="53"/>
      <c r="N20" s="53"/>
      <c r="O20" s="14"/>
      <c r="P20" s="53"/>
      <c r="Q20" s="53"/>
      <c r="R20" s="14"/>
      <c r="S20" s="14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  <row r="21" spans="2:31" ht="15" customHeight="1" x14ac:dyDescent="0.15">
      <c r="B21" s="14"/>
      <c r="C21" s="36"/>
      <c r="D21" s="37"/>
      <c r="E21" s="37"/>
      <c r="F21" s="37"/>
      <c r="G21" s="37"/>
      <c r="H21" s="38"/>
      <c r="I21" s="53"/>
      <c r="J21" s="53"/>
      <c r="K21" s="53"/>
      <c r="L21" s="53"/>
      <c r="M21" s="53"/>
      <c r="N21" s="53"/>
      <c r="O21" s="14"/>
      <c r="P21" s="53"/>
      <c r="Q21" s="53"/>
      <c r="R21" s="14"/>
      <c r="S21" s="14"/>
      <c r="T21" s="74"/>
      <c r="U21" s="74"/>
      <c r="V21" s="36"/>
      <c r="W21" s="37"/>
      <c r="X21" s="37"/>
      <c r="Y21" s="37"/>
      <c r="Z21" s="37"/>
      <c r="AA21" s="37"/>
      <c r="AB21" s="37"/>
      <c r="AC21" s="37"/>
      <c r="AD21" s="37"/>
      <c r="AE21" s="38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9 C8:T9 B8:B21 B7:T7">
    <cfRule type="expression" dxfId="54" priority="13">
      <formula>$S7="○"</formula>
    </cfRule>
  </conditionalFormatting>
  <conditionalFormatting sqref="V10 C10:T10">
    <cfRule type="expression" dxfId="53" priority="12">
      <formula>$S10="○"</formula>
    </cfRule>
  </conditionalFormatting>
  <conditionalFormatting sqref="V12 C12:T12">
    <cfRule type="expression" dxfId="52" priority="11">
      <formula>$S12="○"</formula>
    </cfRule>
  </conditionalFormatting>
  <conditionalFormatting sqref="V13 C13:T13">
    <cfRule type="expression" dxfId="51" priority="10">
      <formula>$S13="○"</formula>
    </cfRule>
  </conditionalFormatting>
  <conditionalFormatting sqref="V14 C14:T14">
    <cfRule type="expression" dxfId="50" priority="9">
      <formula>$S14="○"</formula>
    </cfRule>
  </conditionalFormatting>
  <conditionalFormatting sqref="V15 C15:T15 C16:H16">
    <cfRule type="expression" dxfId="49" priority="8">
      <formula>$S15="○"</formula>
    </cfRule>
  </conditionalFormatting>
  <conditionalFormatting sqref="V16 I16:T16">
    <cfRule type="expression" dxfId="48" priority="7">
      <formula>$S16="○"</formula>
    </cfRule>
  </conditionalFormatting>
  <conditionalFormatting sqref="V17 C17:T17">
    <cfRule type="expression" dxfId="47" priority="6">
      <formula>$S17="○"</formula>
    </cfRule>
  </conditionalFormatting>
  <conditionalFormatting sqref="V18 C18:T18">
    <cfRule type="expression" dxfId="46" priority="5">
      <formula>$S18="○"</formula>
    </cfRule>
  </conditionalFormatting>
  <conditionalFormatting sqref="V19 C19:T19">
    <cfRule type="expression" dxfId="45" priority="4">
      <formula>$S19="○"</formula>
    </cfRule>
  </conditionalFormatting>
  <conditionalFormatting sqref="V20 C20:T20">
    <cfRule type="expression" dxfId="44" priority="3">
      <formula>$S20="○"</formula>
    </cfRule>
  </conditionalFormatting>
  <conditionalFormatting sqref="V11 C11:T11">
    <cfRule type="expression" dxfId="43" priority="2">
      <formula>$S11="○"</formula>
    </cfRule>
  </conditionalFormatting>
  <conditionalFormatting sqref="V21 C21:T21">
    <cfRule type="expression" dxfId="42" priority="1">
      <formula>$S21="○"</formula>
    </cfRule>
  </conditionalFormatting>
  <dataValidations count="2">
    <dataValidation type="list" allowBlank="1" showInputMessage="1" showErrorMessage="1" sqref="L7:N21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B1:AH20"/>
  <sheetViews>
    <sheetView showGridLines="0" view="pageBreakPreview" zoomScale="115" zoomScaleNormal="100" zoomScaleSheetLayoutView="115" workbookViewId="0">
      <selection activeCell="I25" sqref="I25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メッセージ情報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293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289</v>
      </c>
      <c r="D7" s="37"/>
      <c r="E7" s="37"/>
      <c r="F7" s="37"/>
      <c r="G7" s="37"/>
      <c r="H7" s="38"/>
      <c r="I7" s="53" t="s">
        <v>290</v>
      </c>
      <c r="J7" s="53"/>
      <c r="K7" s="53"/>
      <c r="L7" s="53" t="s">
        <v>134</v>
      </c>
      <c r="M7" s="53"/>
      <c r="N7" s="53"/>
      <c r="O7" s="14">
        <v>11</v>
      </c>
      <c r="P7" s="53"/>
      <c r="Q7" s="53"/>
      <c r="R7" s="14"/>
      <c r="S7" s="14"/>
      <c r="T7" s="74"/>
      <c r="U7" s="74"/>
      <c r="V7" s="36" t="s">
        <v>292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296</v>
      </c>
      <c r="D8" s="37"/>
      <c r="E8" s="37"/>
      <c r="F8" s="37"/>
      <c r="G8" s="37"/>
      <c r="H8" s="38"/>
      <c r="I8" s="53" t="s">
        <v>300</v>
      </c>
      <c r="J8" s="53"/>
      <c r="K8" s="53"/>
      <c r="L8" s="53" t="s">
        <v>272</v>
      </c>
      <c r="M8" s="53"/>
      <c r="N8" s="53"/>
      <c r="O8" s="14">
        <v>11</v>
      </c>
      <c r="P8" s="53"/>
      <c r="Q8" s="53"/>
      <c r="R8" s="14"/>
      <c r="S8" s="14"/>
      <c r="T8" s="74"/>
      <c r="U8" s="74"/>
      <c r="V8" s="36" t="s">
        <v>105</v>
      </c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4">
        <v>3</v>
      </c>
      <c r="C9" s="75" t="s">
        <v>297</v>
      </c>
      <c r="D9" s="37"/>
      <c r="E9" s="37"/>
      <c r="F9" s="37"/>
      <c r="G9" s="37"/>
      <c r="H9" s="38"/>
      <c r="I9" s="53" t="s">
        <v>301</v>
      </c>
      <c r="J9" s="53"/>
      <c r="K9" s="53"/>
      <c r="L9" s="53" t="s">
        <v>302</v>
      </c>
      <c r="M9" s="53"/>
      <c r="N9" s="53"/>
      <c r="O9" s="14"/>
      <c r="P9" s="53"/>
      <c r="Q9" s="53"/>
      <c r="R9" s="14"/>
      <c r="S9" s="14"/>
      <c r="T9" s="74"/>
      <c r="U9" s="74"/>
      <c r="V9" s="75"/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4">
        <v>4</v>
      </c>
      <c r="C10" s="75" t="s">
        <v>303</v>
      </c>
      <c r="D10" s="37"/>
      <c r="E10" s="37"/>
      <c r="F10" s="37"/>
      <c r="G10" s="37"/>
      <c r="H10" s="38"/>
      <c r="I10" s="53" t="s">
        <v>125</v>
      </c>
      <c r="J10" s="53"/>
      <c r="K10" s="53"/>
      <c r="L10" s="53" t="s">
        <v>134</v>
      </c>
      <c r="M10" s="53"/>
      <c r="N10" s="53"/>
      <c r="O10" s="14">
        <v>2</v>
      </c>
      <c r="P10" s="53">
        <v>0</v>
      </c>
      <c r="Q10" s="53"/>
      <c r="R10" s="14"/>
      <c r="S10" s="14"/>
      <c r="T10" s="74"/>
      <c r="U10" s="74"/>
      <c r="V10" s="36" t="s">
        <v>294</v>
      </c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4">
        <v>5</v>
      </c>
      <c r="C11" s="75" t="s">
        <v>305</v>
      </c>
      <c r="D11" s="37"/>
      <c r="E11" s="37"/>
      <c r="F11" s="37"/>
      <c r="G11" s="37"/>
      <c r="H11" s="38"/>
      <c r="I11" s="53" t="s">
        <v>304</v>
      </c>
      <c r="J11" s="53"/>
      <c r="K11" s="53"/>
      <c r="L11" s="53" t="s">
        <v>134</v>
      </c>
      <c r="M11" s="53"/>
      <c r="N11" s="53"/>
      <c r="O11" s="14">
        <v>10</v>
      </c>
      <c r="P11" s="53">
        <v>1</v>
      </c>
      <c r="Q11" s="53"/>
      <c r="R11" s="14"/>
      <c r="S11" s="14"/>
      <c r="T11" s="74"/>
      <c r="U11" s="74"/>
      <c r="V11" s="36"/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4">
        <v>6</v>
      </c>
      <c r="C12" s="75" t="s">
        <v>298</v>
      </c>
      <c r="D12" s="37"/>
      <c r="E12" s="37"/>
      <c r="F12" s="37"/>
      <c r="G12" s="37"/>
      <c r="H12" s="38"/>
      <c r="I12" s="53" t="s">
        <v>306</v>
      </c>
      <c r="J12" s="53"/>
      <c r="K12" s="53"/>
      <c r="L12" s="53" t="s">
        <v>134</v>
      </c>
      <c r="M12" s="53"/>
      <c r="N12" s="53"/>
      <c r="O12" s="14">
        <v>2</v>
      </c>
      <c r="P12" s="53">
        <v>0</v>
      </c>
      <c r="Q12" s="53"/>
      <c r="R12" s="14"/>
      <c r="S12" s="14"/>
      <c r="T12" s="74"/>
      <c r="U12" s="74"/>
      <c r="V12" s="36" t="s">
        <v>295</v>
      </c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21">
        <v>7</v>
      </c>
      <c r="C13" s="75" t="s">
        <v>299</v>
      </c>
      <c r="D13" s="37"/>
      <c r="E13" s="37"/>
      <c r="F13" s="37"/>
      <c r="G13" s="37"/>
      <c r="H13" s="38"/>
      <c r="I13" s="53" t="s">
        <v>263</v>
      </c>
      <c r="J13" s="53"/>
      <c r="K13" s="53"/>
      <c r="L13" s="53" t="s">
        <v>142</v>
      </c>
      <c r="M13" s="53"/>
      <c r="N13" s="53"/>
      <c r="O13" s="14"/>
      <c r="P13" s="53"/>
      <c r="Q13" s="53"/>
      <c r="R13" s="14"/>
      <c r="S13" s="14"/>
      <c r="T13" s="74"/>
      <c r="U13" s="74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21">
        <v>8</v>
      </c>
      <c r="C14" s="36" t="s">
        <v>382</v>
      </c>
      <c r="D14" s="37"/>
      <c r="E14" s="37"/>
      <c r="F14" s="37"/>
      <c r="G14" s="37"/>
      <c r="H14" s="38"/>
      <c r="I14" s="53" t="s">
        <v>383</v>
      </c>
      <c r="J14" s="53"/>
      <c r="K14" s="53"/>
      <c r="L14" s="53" t="s">
        <v>384</v>
      </c>
      <c r="M14" s="53"/>
      <c r="N14" s="53"/>
      <c r="O14" s="14"/>
      <c r="P14" s="53"/>
      <c r="Q14" s="53"/>
      <c r="R14" s="14"/>
      <c r="S14" s="14"/>
      <c r="T14" s="74"/>
      <c r="U14" s="74"/>
      <c r="V14" s="36" t="s">
        <v>385</v>
      </c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/>
      <c r="C15" s="75"/>
      <c r="D15" s="37"/>
      <c r="E15" s="37"/>
      <c r="F15" s="37"/>
      <c r="G15" s="37"/>
      <c r="H15" s="38"/>
      <c r="I15" s="53"/>
      <c r="J15" s="53"/>
      <c r="K15" s="53"/>
      <c r="L15" s="53"/>
      <c r="M15" s="53"/>
      <c r="N15" s="53"/>
      <c r="O15" s="14"/>
      <c r="P15" s="53"/>
      <c r="Q15" s="53"/>
      <c r="R15" s="14"/>
      <c r="S15" s="14"/>
      <c r="T15" s="74"/>
      <c r="U15" s="74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/>
      <c r="C16" s="75"/>
      <c r="D16" s="37"/>
      <c r="E16" s="37"/>
      <c r="F16" s="37"/>
      <c r="G16" s="37"/>
      <c r="H16" s="38"/>
      <c r="I16" s="53"/>
      <c r="J16" s="53"/>
      <c r="K16" s="53"/>
      <c r="L16" s="53"/>
      <c r="M16" s="53"/>
      <c r="N16" s="53"/>
      <c r="O16" s="14"/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/>
      <c r="C17" s="36"/>
      <c r="D17" s="37"/>
      <c r="E17" s="37"/>
      <c r="F17" s="37"/>
      <c r="G17" s="37"/>
      <c r="H17" s="38"/>
      <c r="I17" s="53"/>
      <c r="J17" s="53"/>
      <c r="K17" s="53"/>
      <c r="L17" s="53"/>
      <c r="M17" s="53"/>
      <c r="N17" s="53"/>
      <c r="O17" s="14"/>
      <c r="P17" s="53"/>
      <c r="Q17" s="53"/>
      <c r="R17" s="14"/>
      <c r="S17" s="14"/>
      <c r="T17" s="74"/>
      <c r="U17" s="74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/>
      <c r="C18" s="75"/>
      <c r="D18" s="37"/>
      <c r="E18" s="37"/>
      <c r="F18" s="37"/>
      <c r="G18" s="37"/>
      <c r="H18" s="38"/>
      <c r="I18" s="53"/>
      <c r="J18" s="53"/>
      <c r="K18" s="53"/>
      <c r="L18" s="53"/>
      <c r="M18" s="53"/>
      <c r="N18" s="53"/>
      <c r="O18" s="14"/>
      <c r="P18" s="53"/>
      <c r="Q18" s="53"/>
      <c r="R18" s="14"/>
      <c r="S18" s="14"/>
      <c r="T18" s="74"/>
      <c r="U18" s="74"/>
      <c r="V18" s="36"/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4"/>
      <c r="C19" s="75"/>
      <c r="D19" s="37"/>
      <c r="E19" s="37"/>
      <c r="F19" s="37"/>
      <c r="G19" s="37"/>
      <c r="H19" s="38"/>
      <c r="I19" s="53"/>
      <c r="J19" s="53"/>
      <c r="K19" s="53"/>
      <c r="L19" s="53"/>
      <c r="M19" s="53"/>
      <c r="N19" s="53"/>
      <c r="O19" s="14"/>
      <c r="P19" s="53"/>
      <c r="Q19" s="53"/>
      <c r="R19" s="14"/>
      <c r="S19" s="14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14"/>
      <c r="C20" s="36"/>
      <c r="D20" s="37"/>
      <c r="E20" s="37"/>
      <c r="F20" s="37"/>
      <c r="G20" s="37"/>
      <c r="H20" s="38"/>
      <c r="I20" s="53"/>
      <c r="J20" s="53"/>
      <c r="K20" s="53"/>
      <c r="L20" s="53"/>
      <c r="M20" s="53"/>
      <c r="N20" s="53"/>
      <c r="O20" s="14"/>
      <c r="P20" s="53"/>
      <c r="Q20" s="53"/>
      <c r="R20" s="14"/>
      <c r="S20" s="14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4:H14"/>
    <mergeCell ref="I14:K14"/>
    <mergeCell ref="L14:N14"/>
    <mergeCell ref="P14:Q14"/>
    <mergeCell ref="T14:U14"/>
    <mergeCell ref="V14:AE14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</mergeCells>
  <phoneticPr fontId="1"/>
  <conditionalFormatting sqref="V9 C8:T9 B7:T7 B8:B20">
    <cfRule type="expression" dxfId="41" priority="13">
      <formula>$S7="○"</formula>
    </cfRule>
  </conditionalFormatting>
  <conditionalFormatting sqref="V10 C10:T10">
    <cfRule type="expression" dxfId="40" priority="12">
      <formula>$S10="○"</formula>
    </cfRule>
  </conditionalFormatting>
  <conditionalFormatting sqref="V12 C12:T12">
    <cfRule type="expression" dxfId="39" priority="11">
      <formula>$S12="○"</formula>
    </cfRule>
  </conditionalFormatting>
  <conditionalFormatting sqref="V13 C13:T13">
    <cfRule type="expression" dxfId="38" priority="10">
      <formula>$S13="○"</formula>
    </cfRule>
  </conditionalFormatting>
  <conditionalFormatting sqref="V14 C14:T14 C15:H15">
    <cfRule type="expression" dxfId="37" priority="8">
      <formula>$S14="○"</formula>
    </cfRule>
  </conditionalFormatting>
  <conditionalFormatting sqref="V15 I15:T15">
    <cfRule type="expression" dxfId="36" priority="7">
      <formula>$S15="○"</formula>
    </cfRule>
  </conditionalFormatting>
  <conditionalFormatting sqref="V16 C16:T16">
    <cfRule type="expression" dxfId="35" priority="6">
      <formula>$S16="○"</formula>
    </cfRule>
  </conditionalFormatting>
  <conditionalFormatting sqref="V17 C17:T17">
    <cfRule type="expression" dxfId="34" priority="5">
      <formula>$S17="○"</formula>
    </cfRule>
  </conditionalFormatting>
  <conditionalFormatting sqref="V18 C18:T18">
    <cfRule type="expression" dxfId="33" priority="4">
      <formula>$S18="○"</formula>
    </cfRule>
  </conditionalFormatting>
  <conditionalFormatting sqref="V19 C19:T19">
    <cfRule type="expression" dxfId="32" priority="3">
      <formula>$S19="○"</formula>
    </cfRule>
  </conditionalFormatting>
  <conditionalFormatting sqref="V11 C11:T11">
    <cfRule type="expression" dxfId="31" priority="2">
      <formula>$S11="○"</formula>
    </cfRule>
  </conditionalFormatting>
  <conditionalFormatting sqref="V20 C20:T20">
    <cfRule type="expression" dxfId="30" priority="1">
      <formula>$S20="○"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0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B1:AH20"/>
  <sheetViews>
    <sheetView showGridLines="0" view="pageBreakPreview" zoomScale="115" zoomScaleNormal="100" zoomScaleSheetLayoutView="115" workbookViewId="0">
      <selection activeCell="V10" sqref="V10:AE10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メッセージ添付データ情報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341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312</v>
      </c>
      <c r="D7" s="37"/>
      <c r="E7" s="37"/>
      <c r="F7" s="37"/>
      <c r="G7" s="37"/>
      <c r="H7" s="38"/>
      <c r="I7" s="53" t="s">
        <v>313</v>
      </c>
      <c r="J7" s="53"/>
      <c r="K7" s="53"/>
      <c r="L7" s="53" t="s">
        <v>319</v>
      </c>
      <c r="M7" s="53"/>
      <c r="N7" s="53"/>
      <c r="O7" s="14">
        <v>11</v>
      </c>
      <c r="P7" s="53"/>
      <c r="Q7" s="53"/>
      <c r="R7" s="14"/>
      <c r="S7" s="14"/>
      <c r="T7" s="74"/>
      <c r="U7" s="74"/>
      <c r="V7" s="36" t="s">
        <v>320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311</v>
      </c>
      <c r="D8" s="37"/>
      <c r="E8" s="37"/>
      <c r="F8" s="37"/>
      <c r="G8" s="37"/>
      <c r="H8" s="38"/>
      <c r="I8" s="53" t="s">
        <v>314</v>
      </c>
      <c r="J8" s="53"/>
      <c r="K8" s="53"/>
      <c r="L8" s="53" t="s">
        <v>315</v>
      </c>
      <c r="M8" s="53"/>
      <c r="N8" s="53"/>
      <c r="O8" s="14">
        <v>2</v>
      </c>
      <c r="P8" s="53">
        <v>0</v>
      </c>
      <c r="Q8" s="53"/>
      <c r="R8" s="14"/>
      <c r="S8" s="14"/>
      <c r="T8" s="74"/>
      <c r="U8" s="74"/>
      <c r="V8" s="36" t="s">
        <v>381</v>
      </c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4">
        <v>3</v>
      </c>
      <c r="C9" s="75" t="s">
        <v>310</v>
      </c>
      <c r="D9" s="37"/>
      <c r="E9" s="37"/>
      <c r="F9" s="37"/>
      <c r="G9" s="37"/>
      <c r="H9" s="38"/>
      <c r="I9" s="53" t="s">
        <v>316</v>
      </c>
      <c r="J9" s="53"/>
      <c r="K9" s="53"/>
      <c r="L9" s="53" t="s">
        <v>317</v>
      </c>
      <c r="M9" s="53"/>
      <c r="N9" s="53"/>
      <c r="O9" s="14">
        <v>255</v>
      </c>
      <c r="P9" s="53"/>
      <c r="Q9" s="53"/>
      <c r="R9" s="14"/>
      <c r="S9" s="14"/>
      <c r="T9" s="74"/>
      <c r="U9" s="74"/>
      <c r="V9" s="75"/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4">
        <v>4</v>
      </c>
      <c r="C10" s="75" t="s">
        <v>309</v>
      </c>
      <c r="D10" s="37"/>
      <c r="E10" s="37"/>
      <c r="F10" s="37"/>
      <c r="G10" s="37"/>
      <c r="H10" s="38"/>
      <c r="I10" s="53" t="s">
        <v>318</v>
      </c>
      <c r="J10" s="53"/>
      <c r="K10" s="53"/>
      <c r="L10" s="53" t="s">
        <v>136</v>
      </c>
      <c r="M10" s="53"/>
      <c r="N10" s="53"/>
      <c r="O10" s="14">
        <v>255</v>
      </c>
      <c r="P10" s="53"/>
      <c r="Q10" s="53"/>
      <c r="R10" s="14"/>
      <c r="S10" s="14"/>
      <c r="T10" s="74"/>
      <c r="U10" s="74"/>
      <c r="V10" s="36"/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4">
        <v>6</v>
      </c>
      <c r="C11" s="75" t="s">
        <v>308</v>
      </c>
      <c r="D11" s="37"/>
      <c r="E11" s="37"/>
      <c r="F11" s="37"/>
      <c r="G11" s="37"/>
      <c r="H11" s="38"/>
      <c r="I11" s="53" t="s">
        <v>125</v>
      </c>
      <c r="J11" s="53"/>
      <c r="K11" s="53"/>
      <c r="L11" s="53" t="s">
        <v>134</v>
      </c>
      <c r="M11" s="53"/>
      <c r="N11" s="53"/>
      <c r="O11" s="14">
        <v>2</v>
      </c>
      <c r="P11" s="53">
        <v>0</v>
      </c>
      <c r="Q11" s="53"/>
      <c r="R11" s="14"/>
      <c r="S11" s="14"/>
      <c r="T11" s="74"/>
      <c r="U11" s="74"/>
      <c r="V11" s="36" t="s">
        <v>307</v>
      </c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4"/>
      <c r="C12" s="75"/>
      <c r="D12" s="37"/>
      <c r="E12" s="37"/>
      <c r="F12" s="37"/>
      <c r="G12" s="37"/>
      <c r="H12" s="38"/>
      <c r="I12" s="53"/>
      <c r="J12" s="53"/>
      <c r="K12" s="53"/>
      <c r="L12" s="53"/>
      <c r="M12" s="53"/>
      <c r="N12" s="53"/>
      <c r="O12" s="14"/>
      <c r="P12" s="53"/>
      <c r="Q12" s="53"/>
      <c r="R12" s="14"/>
      <c r="S12" s="14"/>
      <c r="T12" s="74"/>
      <c r="U12" s="74"/>
      <c r="V12" s="36"/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4"/>
      <c r="C13" s="36"/>
      <c r="D13" s="37"/>
      <c r="E13" s="37"/>
      <c r="F13" s="37"/>
      <c r="G13" s="37"/>
      <c r="H13" s="38"/>
      <c r="I13" s="36"/>
      <c r="J13" s="37"/>
      <c r="K13" s="38"/>
      <c r="L13" s="36"/>
      <c r="M13" s="37"/>
      <c r="N13" s="38"/>
      <c r="O13" s="14"/>
      <c r="P13" s="36"/>
      <c r="Q13" s="38"/>
      <c r="R13" s="14"/>
      <c r="S13" s="14"/>
      <c r="T13" s="54"/>
      <c r="U13" s="59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4"/>
      <c r="C14" s="36"/>
      <c r="D14" s="37"/>
      <c r="E14" s="37"/>
      <c r="F14" s="37"/>
      <c r="G14" s="37"/>
      <c r="H14" s="38"/>
      <c r="I14" s="53"/>
      <c r="J14" s="53"/>
      <c r="K14" s="53"/>
      <c r="L14" s="53"/>
      <c r="M14" s="53"/>
      <c r="N14" s="53"/>
      <c r="O14" s="14"/>
      <c r="P14" s="53"/>
      <c r="Q14" s="53"/>
      <c r="R14" s="14"/>
      <c r="S14" s="14"/>
      <c r="T14" s="74"/>
      <c r="U14" s="74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/>
      <c r="C15" s="75"/>
      <c r="D15" s="37"/>
      <c r="E15" s="37"/>
      <c r="F15" s="37"/>
      <c r="G15" s="37"/>
      <c r="H15" s="38"/>
      <c r="I15" s="53"/>
      <c r="J15" s="53"/>
      <c r="K15" s="53"/>
      <c r="L15" s="53"/>
      <c r="M15" s="53"/>
      <c r="N15" s="53"/>
      <c r="O15" s="14"/>
      <c r="P15" s="53"/>
      <c r="Q15" s="53"/>
      <c r="R15" s="14"/>
      <c r="S15" s="14"/>
      <c r="T15" s="74"/>
      <c r="U15" s="74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/>
      <c r="C16" s="75"/>
      <c r="D16" s="37"/>
      <c r="E16" s="37"/>
      <c r="F16" s="37"/>
      <c r="G16" s="37"/>
      <c r="H16" s="38"/>
      <c r="I16" s="53"/>
      <c r="J16" s="53"/>
      <c r="K16" s="53"/>
      <c r="L16" s="53"/>
      <c r="M16" s="53"/>
      <c r="N16" s="53"/>
      <c r="O16" s="14"/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/>
      <c r="C17" s="36"/>
      <c r="D17" s="37"/>
      <c r="E17" s="37"/>
      <c r="F17" s="37"/>
      <c r="G17" s="37"/>
      <c r="H17" s="38"/>
      <c r="I17" s="53"/>
      <c r="J17" s="53"/>
      <c r="K17" s="53"/>
      <c r="L17" s="53"/>
      <c r="M17" s="53"/>
      <c r="N17" s="53"/>
      <c r="O17" s="14"/>
      <c r="P17" s="53"/>
      <c r="Q17" s="53"/>
      <c r="R17" s="14"/>
      <c r="S17" s="14"/>
      <c r="T17" s="74"/>
      <c r="U17" s="74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/>
      <c r="C18" s="75"/>
      <c r="D18" s="37"/>
      <c r="E18" s="37"/>
      <c r="F18" s="37"/>
      <c r="G18" s="37"/>
      <c r="H18" s="38"/>
      <c r="I18" s="53"/>
      <c r="J18" s="53"/>
      <c r="K18" s="53"/>
      <c r="L18" s="53"/>
      <c r="M18" s="53"/>
      <c r="N18" s="53"/>
      <c r="O18" s="14"/>
      <c r="P18" s="53"/>
      <c r="Q18" s="53"/>
      <c r="R18" s="14"/>
      <c r="S18" s="14"/>
      <c r="T18" s="74"/>
      <c r="U18" s="74"/>
      <c r="V18" s="36"/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4"/>
      <c r="C19" s="75"/>
      <c r="D19" s="37"/>
      <c r="E19" s="37"/>
      <c r="F19" s="37"/>
      <c r="G19" s="37"/>
      <c r="H19" s="38"/>
      <c r="I19" s="53"/>
      <c r="J19" s="53"/>
      <c r="K19" s="53"/>
      <c r="L19" s="53"/>
      <c r="M19" s="53"/>
      <c r="N19" s="53"/>
      <c r="O19" s="14"/>
      <c r="P19" s="53"/>
      <c r="Q19" s="53"/>
      <c r="R19" s="14"/>
      <c r="S19" s="14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14"/>
      <c r="C20" s="36"/>
      <c r="D20" s="37"/>
      <c r="E20" s="37"/>
      <c r="F20" s="37"/>
      <c r="G20" s="37"/>
      <c r="H20" s="38"/>
      <c r="I20" s="53"/>
      <c r="J20" s="53"/>
      <c r="K20" s="53"/>
      <c r="L20" s="53"/>
      <c r="M20" s="53"/>
      <c r="N20" s="53"/>
      <c r="O20" s="14"/>
      <c r="P20" s="53"/>
      <c r="Q20" s="53"/>
      <c r="R20" s="14"/>
      <c r="S20" s="14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0:H10"/>
    <mergeCell ref="I10:K10"/>
    <mergeCell ref="L10:N10"/>
    <mergeCell ref="P10:Q10"/>
    <mergeCell ref="T10:U10"/>
    <mergeCell ref="V10:AE10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</mergeCells>
  <phoneticPr fontId="1"/>
  <conditionalFormatting sqref="V9 C8:T9 B7:T7 B8:B20">
    <cfRule type="expression" dxfId="29" priority="13">
      <formula>$S7="○"</formula>
    </cfRule>
  </conditionalFormatting>
  <conditionalFormatting sqref="V10 C10:T10">
    <cfRule type="expression" dxfId="28" priority="12">
      <formula>$S10="○"</formula>
    </cfRule>
  </conditionalFormatting>
  <conditionalFormatting sqref="V11 C11:T11">
    <cfRule type="expression" dxfId="27" priority="11">
      <formula>$S11="○"</formula>
    </cfRule>
  </conditionalFormatting>
  <conditionalFormatting sqref="V12 C12:T12">
    <cfRule type="expression" dxfId="26" priority="10">
      <formula>$S12="○"</formula>
    </cfRule>
  </conditionalFormatting>
  <conditionalFormatting sqref="V13 C13:T13">
    <cfRule type="expression" dxfId="25" priority="9">
      <formula>$S13="○"</formula>
    </cfRule>
  </conditionalFormatting>
  <conditionalFormatting sqref="V14 C14:T14 C15:H15">
    <cfRule type="expression" dxfId="24" priority="8">
      <formula>$S14="○"</formula>
    </cfRule>
  </conditionalFormatting>
  <conditionalFormatting sqref="V15 I15:T15">
    <cfRule type="expression" dxfId="23" priority="7">
      <formula>$S15="○"</formula>
    </cfRule>
  </conditionalFormatting>
  <conditionalFormatting sqref="V16 C16:T16">
    <cfRule type="expression" dxfId="22" priority="6">
      <formula>$S16="○"</formula>
    </cfRule>
  </conditionalFormatting>
  <conditionalFormatting sqref="V17 C17:T17">
    <cfRule type="expression" dxfId="21" priority="5">
      <formula>$S17="○"</formula>
    </cfRule>
  </conditionalFormatting>
  <conditionalFormatting sqref="V18 C18:T18">
    <cfRule type="expression" dxfId="20" priority="4">
      <formula>$S18="○"</formula>
    </cfRule>
  </conditionalFormatting>
  <conditionalFormatting sqref="V19 C19:T19">
    <cfRule type="expression" dxfId="19" priority="3">
      <formula>$S19="○"</formula>
    </cfRule>
  </conditionalFormatting>
  <conditionalFormatting sqref="V20 C20:T20">
    <cfRule type="expression" dxfId="18" priority="1">
      <formula>$S20="○"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0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B1:AH21"/>
  <sheetViews>
    <sheetView showGridLines="0" view="pageBreakPreview" zoomScale="115" zoomScaleNormal="100" zoomScaleSheetLayoutView="115" workbookViewId="0">
      <selection activeCell="R27" sqref="R27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70" t="s">
        <v>32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1" t="s">
        <v>36</v>
      </c>
    </row>
    <row r="2" spans="2:34" ht="15" customHeight="1" x14ac:dyDescent="0.15">
      <c r="B2" s="56" t="s">
        <v>37</v>
      </c>
      <c r="C2" s="56"/>
      <c r="D2" s="56"/>
      <c r="E2" s="56"/>
      <c r="F2" s="54" t="str">
        <f ca="1">RIGHT(CELL("filename",A2),LEN(CELL("filename",A2))-FIND("]",CELL("filename",A2)))</f>
        <v>メッセージ未読既読情報</v>
      </c>
      <c r="G2" s="55"/>
      <c r="H2" s="55"/>
      <c r="I2" s="55"/>
      <c r="J2" s="55"/>
      <c r="K2" s="55"/>
      <c r="L2" s="56" t="s">
        <v>40</v>
      </c>
      <c r="M2" s="56"/>
      <c r="N2" s="56"/>
      <c r="O2" s="54" t="s">
        <v>321</v>
      </c>
      <c r="P2" s="55"/>
      <c r="Q2" s="55"/>
      <c r="R2" s="55"/>
      <c r="S2" s="55"/>
      <c r="T2" s="59"/>
      <c r="U2" s="57" t="s">
        <v>39</v>
      </c>
      <c r="V2" s="58"/>
      <c r="W2" s="60">
        <v>42706</v>
      </c>
      <c r="X2" s="61"/>
      <c r="Y2" s="62"/>
      <c r="Z2" s="56" t="s">
        <v>0</v>
      </c>
      <c r="AA2" s="56"/>
      <c r="AB2" s="56"/>
      <c r="AC2" s="60">
        <v>42706</v>
      </c>
      <c r="AD2" s="61"/>
      <c r="AE2" s="62"/>
      <c r="AG2" s="1" t="s">
        <v>12</v>
      </c>
      <c r="AH2" s="1" t="s">
        <v>23</v>
      </c>
    </row>
    <row r="3" spans="2:34" ht="15" customHeight="1" x14ac:dyDescent="0.15">
      <c r="B3" s="57" t="s">
        <v>11</v>
      </c>
      <c r="C3" s="73"/>
      <c r="D3" s="58"/>
      <c r="E3" s="12" t="s">
        <v>12</v>
      </c>
      <c r="F3" s="73" t="s">
        <v>10</v>
      </c>
      <c r="G3" s="73"/>
      <c r="H3" s="58"/>
      <c r="I3" s="54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9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7" t="s">
        <v>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58"/>
      <c r="AH5" s="1" t="s">
        <v>25</v>
      </c>
    </row>
    <row r="6" spans="2:34" ht="15" customHeight="1" x14ac:dyDescent="0.15">
      <c r="B6" s="13" t="s">
        <v>2</v>
      </c>
      <c r="C6" s="67" t="s">
        <v>3</v>
      </c>
      <c r="D6" s="68"/>
      <c r="E6" s="68"/>
      <c r="F6" s="68"/>
      <c r="G6" s="68"/>
      <c r="H6" s="69"/>
      <c r="I6" s="63" t="s">
        <v>4</v>
      </c>
      <c r="J6" s="63"/>
      <c r="K6" s="63"/>
      <c r="L6" s="63" t="s">
        <v>5</v>
      </c>
      <c r="M6" s="63"/>
      <c r="N6" s="63"/>
      <c r="O6" s="13" t="s">
        <v>6</v>
      </c>
      <c r="P6" s="63" t="s">
        <v>7</v>
      </c>
      <c r="Q6" s="63"/>
      <c r="R6" s="13" t="s">
        <v>8</v>
      </c>
      <c r="S6" s="13" t="s">
        <v>9</v>
      </c>
      <c r="T6" s="67" t="s">
        <v>46</v>
      </c>
      <c r="U6" s="68"/>
      <c r="V6" s="63" t="s">
        <v>10</v>
      </c>
      <c r="W6" s="63"/>
      <c r="X6" s="63"/>
      <c r="Y6" s="63"/>
      <c r="Z6" s="63"/>
      <c r="AA6" s="63"/>
      <c r="AB6" s="63"/>
      <c r="AC6" s="63"/>
      <c r="AD6" s="63"/>
      <c r="AE6" s="63"/>
      <c r="AH6" s="1" t="s">
        <v>26</v>
      </c>
    </row>
    <row r="7" spans="2:34" ht="15" customHeight="1" x14ac:dyDescent="0.15">
      <c r="B7" s="14">
        <v>1</v>
      </c>
      <c r="C7" s="75" t="s">
        <v>312</v>
      </c>
      <c r="D7" s="37"/>
      <c r="E7" s="37"/>
      <c r="F7" s="37"/>
      <c r="G7" s="37"/>
      <c r="H7" s="38"/>
      <c r="I7" s="53" t="s">
        <v>325</v>
      </c>
      <c r="J7" s="53"/>
      <c r="K7" s="53"/>
      <c r="L7" s="53" t="s">
        <v>326</v>
      </c>
      <c r="M7" s="53"/>
      <c r="N7" s="53"/>
      <c r="O7" s="14">
        <v>11</v>
      </c>
      <c r="P7" s="53"/>
      <c r="Q7" s="53"/>
      <c r="R7" s="14"/>
      <c r="S7" s="14"/>
      <c r="T7" s="74"/>
      <c r="U7" s="74"/>
      <c r="V7" s="36" t="s">
        <v>329</v>
      </c>
      <c r="W7" s="37"/>
      <c r="X7" s="37"/>
      <c r="Y7" s="37"/>
      <c r="Z7" s="37"/>
      <c r="AA7" s="37"/>
      <c r="AB7" s="37"/>
      <c r="AC7" s="37"/>
      <c r="AD7" s="37"/>
      <c r="AE7" s="38"/>
      <c r="AH7" s="1" t="s">
        <v>27</v>
      </c>
    </row>
    <row r="8" spans="2:34" ht="15" customHeight="1" x14ac:dyDescent="0.15">
      <c r="B8" s="14">
        <v>2</v>
      </c>
      <c r="C8" s="75" t="s">
        <v>330</v>
      </c>
      <c r="D8" s="37"/>
      <c r="E8" s="37"/>
      <c r="F8" s="37"/>
      <c r="G8" s="37"/>
      <c r="H8" s="38"/>
      <c r="I8" s="53" t="s">
        <v>327</v>
      </c>
      <c r="J8" s="53"/>
      <c r="K8" s="53"/>
      <c r="L8" s="53" t="s">
        <v>134</v>
      </c>
      <c r="M8" s="53"/>
      <c r="N8" s="53"/>
      <c r="O8" s="14">
        <v>11</v>
      </c>
      <c r="P8" s="53"/>
      <c r="Q8" s="53"/>
      <c r="R8" s="14"/>
      <c r="S8" s="14"/>
      <c r="T8" s="74"/>
      <c r="U8" s="74"/>
      <c r="V8" s="36" t="s">
        <v>105</v>
      </c>
      <c r="W8" s="37"/>
      <c r="X8" s="37"/>
      <c r="Y8" s="37"/>
      <c r="Z8" s="37"/>
      <c r="AA8" s="37"/>
      <c r="AB8" s="37"/>
      <c r="AC8" s="37"/>
      <c r="AD8" s="37"/>
      <c r="AE8" s="38"/>
    </row>
    <row r="9" spans="2:34" ht="15" customHeight="1" x14ac:dyDescent="0.15">
      <c r="B9" s="14">
        <v>3</v>
      </c>
      <c r="C9" s="75" t="s">
        <v>244</v>
      </c>
      <c r="D9" s="37"/>
      <c r="E9" s="37"/>
      <c r="F9" s="37"/>
      <c r="G9" s="37"/>
      <c r="H9" s="38"/>
      <c r="I9" s="53" t="s">
        <v>257</v>
      </c>
      <c r="J9" s="53"/>
      <c r="K9" s="53"/>
      <c r="L9" s="53" t="s">
        <v>134</v>
      </c>
      <c r="M9" s="53"/>
      <c r="N9" s="53"/>
      <c r="O9" s="14">
        <v>2</v>
      </c>
      <c r="P9" s="53">
        <v>0</v>
      </c>
      <c r="Q9" s="53"/>
      <c r="R9" s="14"/>
      <c r="S9" s="14"/>
      <c r="T9" s="74"/>
      <c r="U9" s="74"/>
      <c r="V9" s="75" t="s">
        <v>323</v>
      </c>
      <c r="W9" s="37"/>
      <c r="X9" s="37"/>
      <c r="Y9" s="37"/>
      <c r="Z9" s="37"/>
      <c r="AA9" s="37"/>
      <c r="AB9" s="37"/>
      <c r="AC9" s="37"/>
      <c r="AD9" s="37"/>
      <c r="AE9" s="38"/>
    </row>
    <row r="10" spans="2:34" ht="15" customHeight="1" x14ac:dyDescent="0.15">
      <c r="B10" s="14">
        <v>4</v>
      </c>
      <c r="C10" s="75" t="s">
        <v>324</v>
      </c>
      <c r="D10" s="37"/>
      <c r="E10" s="37"/>
      <c r="F10" s="37"/>
      <c r="G10" s="37"/>
      <c r="H10" s="38"/>
      <c r="I10" s="53" t="s">
        <v>328</v>
      </c>
      <c r="J10" s="53"/>
      <c r="K10" s="53"/>
      <c r="L10" s="53" t="s">
        <v>134</v>
      </c>
      <c r="M10" s="53"/>
      <c r="N10" s="53"/>
      <c r="O10" s="14">
        <v>2</v>
      </c>
      <c r="P10" s="53">
        <v>0</v>
      </c>
      <c r="Q10" s="53"/>
      <c r="R10" s="14"/>
      <c r="S10" s="14"/>
      <c r="T10" s="74"/>
      <c r="U10" s="74"/>
      <c r="V10" s="36" t="s">
        <v>322</v>
      </c>
      <c r="W10" s="37"/>
      <c r="X10" s="37"/>
      <c r="Y10" s="37"/>
      <c r="Z10" s="37"/>
      <c r="AA10" s="37"/>
      <c r="AB10" s="37"/>
      <c r="AC10" s="37"/>
      <c r="AD10" s="37"/>
      <c r="AE10" s="38"/>
    </row>
    <row r="11" spans="2:34" ht="15" customHeight="1" x14ac:dyDescent="0.15">
      <c r="B11" s="14"/>
      <c r="C11" s="75"/>
      <c r="D11" s="37"/>
      <c r="E11" s="37"/>
      <c r="F11" s="37"/>
      <c r="G11" s="37"/>
      <c r="H11" s="38"/>
      <c r="I11" s="53"/>
      <c r="J11" s="53"/>
      <c r="K11" s="53"/>
      <c r="L11" s="53"/>
      <c r="M11" s="53"/>
      <c r="N11" s="53"/>
      <c r="O11" s="14"/>
      <c r="P11" s="53"/>
      <c r="Q11" s="53"/>
      <c r="R11" s="14"/>
      <c r="S11" s="14"/>
      <c r="T11" s="74"/>
      <c r="U11" s="74"/>
      <c r="V11" s="36"/>
      <c r="W11" s="37"/>
      <c r="X11" s="37"/>
      <c r="Y11" s="37"/>
      <c r="Z11" s="37"/>
      <c r="AA11" s="37"/>
      <c r="AB11" s="37"/>
      <c r="AC11" s="37"/>
      <c r="AD11" s="37"/>
      <c r="AE11" s="38"/>
    </row>
    <row r="12" spans="2:34" ht="15" customHeight="1" x14ac:dyDescent="0.15">
      <c r="B12" s="14"/>
      <c r="C12" s="75"/>
      <c r="D12" s="37"/>
      <c r="E12" s="37"/>
      <c r="F12" s="37"/>
      <c r="G12" s="37"/>
      <c r="H12" s="38"/>
      <c r="I12" s="53"/>
      <c r="J12" s="53"/>
      <c r="K12" s="53"/>
      <c r="L12" s="53"/>
      <c r="M12" s="53"/>
      <c r="N12" s="53"/>
      <c r="O12" s="14"/>
      <c r="P12" s="53"/>
      <c r="Q12" s="53"/>
      <c r="R12" s="14"/>
      <c r="S12" s="14"/>
      <c r="T12" s="74"/>
      <c r="U12" s="74"/>
      <c r="V12" s="36"/>
      <c r="W12" s="37"/>
      <c r="X12" s="37"/>
      <c r="Y12" s="37"/>
      <c r="Z12" s="37"/>
      <c r="AA12" s="37"/>
      <c r="AB12" s="37"/>
      <c r="AC12" s="37"/>
      <c r="AD12" s="37"/>
      <c r="AE12" s="38"/>
    </row>
    <row r="13" spans="2:34" ht="15" customHeight="1" x14ac:dyDescent="0.15">
      <c r="B13" s="14"/>
      <c r="C13" s="75"/>
      <c r="D13" s="37"/>
      <c r="E13" s="37"/>
      <c r="F13" s="37"/>
      <c r="G13" s="37"/>
      <c r="H13" s="38"/>
      <c r="I13" s="53"/>
      <c r="J13" s="53"/>
      <c r="K13" s="53"/>
      <c r="L13" s="53"/>
      <c r="M13" s="53"/>
      <c r="N13" s="53"/>
      <c r="O13" s="14"/>
      <c r="P13" s="53"/>
      <c r="Q13" s="53"/>
      <c r="R13" s="14"/>
      <c r="S13" s="14"/>
      <c r="T13" s="74"/>
      <c r="U13" s="74"/>
      <c r="V13" s="36"/>
      <c r="W13" s="37"/>
      <c r="X13" s="37"/>
      <c r="Y13" s="37"/>
      <c r="Z13" s="37"/>
      <c r="AA13" s="37"/>
      <c r="AB13" s="37"/>
      <c r="AC13" s="37"/>
      <c r="AD13" s="37"/>
      <c r="AE13" s="38"/>
    </row>
    <row r="14" spans="2:34" ht="15" customHeight="1" x14ac:dyDescent="0.15">
      <c r="B14" s="14"/>
      <c r="C14" s="36"/>
      <c r="D14" s="37"/>
      <c r="E14" s="37"/>
      <c r="F14" s="37"/>
      <c r="G14" s="37"/>
      <c r="H14" s="38"/>
      <c r="I14" s="36"/>
      <c r="J14" s="37"/>
      <c r="K14" s="38"/>
      <c r="L14" s="36"/>
      <c r="M14" s="37"/>
      <c r="N14" s="38"/>
      <c r="O14" s="14"/>
      <c r="P14" s="36"/>
      <c r="Q14" s="38"/>
      <c r="R14" s="14"/>
      <c r="S14" s="14"/>
      <c r="T14" s="54"/>
      <c r="U14" s="59"/>
      <c r="V14" s="36"/>
      <c r="W14" s="37"/>
      <c r="X14" s="37"/>
      <c r="Y14" s="37"/>
      <c r="Z14" s="37"/>
      <c r="AA14" s="37"/>
      <c r="AB14" s="37"/>
      <c r="AC14" s="37"/>
      <c r="AD14" s="37"/>
      <c r="AE14" s="38"/>
    </row>
    <row r="15" spans="2:34" ht="15" customHeight="1" x14ac:dyDescent="0.15">
      <c r="B15" s="14"/>
      <c r="C15" s="36"/>
      <c r="D15" s="37"/>
      <c r="E15" s="37"/>
      <c r="F15" s="37"/>
      <c r="G15" s="37"/>
      <c r="H15" s="38"/>
      <c r="I15" s="53"/>
      <c r="J15" s="53"/>
      <c r="K15" s="53"/>
      <c r="L15" s="53"/>
      <c r="M15" s="53"/>
      <c r="N15" s="53"/>
      <c r="O15" s="14"/>
      <c r="P15" s="53"/>
      <c r="Q15" s="53"/>
      <c r="R15" s="14"/>
      <c r="S15" s="14"/>
      <c r="T15" s="74"/>
      <c r="U15" s="74"/>
      <c r="V15" s="36"/>
      <c r="W15" s="37"/>
      <c r="X15" s="37"/>
      <c r="Y15" s="37"/>
      <c r="Z15" s="37"/>
      <c r="AA15" s="37"/>
      <c r="AB15" s="37"/>
      <c r="AC15" s="37"/>
      <c r="AD15" s="37"/>
      <c r="AE15" s="38"/>
    </row>
    <row r="16" spans="2:34" ht="15" customHeight="1" x14ac:dyDescent="0.15">
      <c r="B16" s="14"/>
      <c r="C16" s="75"/>
      <c r="D16" s="37"/>
      <c r="E16" s="37"/>
      <c r="F16" s="37"/>
      <c r="G16" s="37"/>
      <c r="H16" s="38"/>
      <c r="I16" s="53"/>
      <c r="J16" s="53"/>
      <c r="K16" s="53"/>
      <c r="L16" s="53"/>
      <c r="M16" s="53"/>
      <c r="N16" s="53"/>
      <c r="O16" s="14"/>
      <c r="P16" s="53"/>
      <c r="Q16" s="53"/>
      <c r="R16" s="14"/>
      <c r="S16" s="14"/>
      <c r="T16" s="74"/>
      <c r="U16" s="74"/>
      <c r="V16" s="36"/>
      <c r="W16" s="37"/>
      <c r="X16" s="37"/>
      <c r="Y16" s="37"/>
      <c r="Z16" s="37"/>
      <c r="AA16" s="37"/>
      <c r="AB16" s="37"/>
      <c r="AC16" s="37"/>
      <c r="AD16" s="37"/>
      <c r="AE16" s="38"/>
    </row>
    <row r="17" spans="2:31" ht="15" customHeight="1" x14ac:dyDescent="0.15">
      <c r="B17" s="14"/>
      <c r="C17" s="75"/>
      <c r="D17" s="37"/>
      <c r="E17" s="37"/>
      <c r="F17" s="37"/>
      <c r="G17" s="37"/>
      <c r="H17" s="38"/>
      <c r="I17" s="53"/>
      <c r="J17" s="53"/>
      <c r="K17" s="53"/>
      <c r="L17" s="53"/>
      <c r="M17" s="53"/>
      <c r="N17" s="53"/>
      <c r="O17" s="14"/>
      <c r="P17" s="53"/>
      <c r="Q17" s="53"/>
      <c r="R17" s="14"/>
      <c r="S17" s="14"/>
      <c r="T17" s="74"/>
      <c r="U17" s="74"/>
      <c r="V17" s="36"/>
      <c r="W17" s="37"/>
      <c r="X17" s="37"/>
      <c r="Y17" s="37"/>
      <c r="Z17" s="37"/>
      <c r="AA17" s="37"/>
      <c r="AB17" s="37"/>
      <c r="AC17" s="37"/>
      <c r="AD17" s="37"/>
      <c r="AE17" s="38"/>
    </row>
    <row r="18" spans="2:31" ht="15" customHeight="1" x14ac:dyDescent="0.15">
      <c r="B18" s="14"/>
      <c r="C18" s="36"/>
      <c r="D18" s="37"/>
      <c r="E18" s="37"/>
      <c r="F18" s="37"/>
      <c r="G18" s="37"/>
      <c r="H18" s="38"/>
      <c r="I18" s="53"/>
      <c r="J18" s="53"/>
      <c r="K18" s="53"/>
      <c r="L18" s="53"/>
      <c r="M18" s="53"/>
      <c r="N18" s="53"/>
      <c r="O18" s="14"/>
      <c r="P18" s="53"/>
      <c r="Q18" s="53"/>
      <c r="R18" s="14"/>
      <c r="S18" s="14"/>
      <c r="T18" s="74"/>
      <c r="U18" s="74"/>
      <c r="V18" s="36"/>
      <c r="W18" s="37"/>
      <c r="X18" s="37"/>
      <c r="Y18" s="37"/>
      <c r="Z18" s="37"/>
      <c r="AA18" s="37"/>
      <c r="AB18" s="37"/>
      <c r="AC18" s="37"/>
      <c r="AD18" s="37"/>
      <c r="AE18" s="38"/>
    </row>
    <row r="19" spans="2:31" ht="15" customHeight="1" x14ac:dyDescent="0.15">
      <c r="B19" s="14"/>
      <c r="C19" s="75"/>
      <c r="D19" s="37"/>
      <c r="E19" s="37"/>
      <c r="F19" s="37"/>
      <c r="G19" s="37"/>
      <c r="H19" s="38"/>
      <c r="I19" s="53"/>
      <c r="J19" s="53"/>
      <c r="K19" s="53"/>
      <c r="L19" s="53"/>
      <c r="M19" s="53"/>
      <c r="N19" s="53"/>
      <c r="O19" s="14"/>
      <c r="P19" s="53"/>
      <c r="Q19" s="53"/>
      <c r="R19" s="14"/>
      <c r="S19" s="14"/>
      <c r="T19" s="74"/>
      <c r="U19" s="74"/>
      <c r="V19" s="36"/>
      <c r="W19" s="37"/>
      <c r="X19" s="37"/>
      <c r="Y19" s="37"/>
      <c r="Z19" s="37"/>
      <c r="AA19" s="37"/>
      <c r="AB19" s="37"/>
      <c r="AC19" s="37"/>
      <c r="AD19" s="37"/>
      <c r="AE19" s="38"/>
    </row>
    <row r="20" spans="2:31" ht="15" customHeight="1" x14ac:dyDescent="0.15">
      <c r="B20" s="14"/>
      <c r="C20" s="75"/>
      <c r="D20" s="37"/>
      <c r="E20" s="37"/>
      <c r="F20" s="37"/>
      <c r="G20" s="37"/>
      <c r="H20" s="38"/>
      <c r="I20" s="53"/>
      <c r="J20" s="53"/>
      <c r="K20" s="53"/>
      <c r="L20" s="53"/>
      <c r="M20" s="53"/>
      <c r="N20" s="53"/>
      <c r="O20" s="14"/>
      <c r="P20" s="53"/>
      <c r="Q20" s="53"/>
      <c r="R20" s="14"/>
      <c r="S20" s="14"/>
      <c r="T20" s="74"/>
      <c r="U20" s="74"/>
      <c r="V20" s="36"/>
      <c r="W20" s="37"/>
      <c r="X20" s="37"/>
      <c r="Y20" s="37"/>
      <c r="Z20" s="37"/>
      <c r="AA20" s="37"/>
      <c r="AB20" s="37"/>
      <c r="AC20" s="37"/>
      <c r="AD20" s="37"/>
      <c r="AE20" s="38"/>
    </row>
    <row r="21" spans="2:31" ht="15" customHeight="1" x14ac:dyDescent="0.15">
      <c r="B21" s="14"/>
      <c r="C21" s="36"/>
      <c r="D21" s="37"/>
      <c r="E21" s="37"/>
      <c r="F21" s="37"/>
      <c r="G21" s="37"/>
      <c r="H21" s="38"/>
      <c r="I21" s="53"/>
      <c r="J21" s="53"/>
      <c r="K21" s="53"/>
      <c r="L21" s="53"/>
      <c r="M21" s="53"/>
      <c r="N21" s="53"/>
      <c r="O21" s="14"/>
      <c r="P21" s="53"/>
      <c r="Q21" s="53"/>
      <c r="R21" s="14"/>
      <c r="S21" s="14"/>
      <c r="T21" s="74"/>
      <c r="U21" s="74"/>
      <c r="V21" s="36"/>
      <c r="W21" s="37"/>
      <c r="X21" s="37"/>
      <c r="Y21" s="37"/>
      <c r="Z21" s="37"/>
      <c r="AA21" s="37"/>
      <c r="AB21" s="37"/>
      <c r="AC21" s="37"/>
      <c r="AD21" s="37"/>
      <c r="AE21" s="38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9 C8:T9 B7:T7 B8:B21">
    <cfRule type="expression" dxfId="17" priority="13">
      <formula>$S7="○"</formula>
    </cfRule>
  </conditionalFormatting>
  <conditionalFormatting sqref="V10 C10:T10">
    <cfRule type="expression" dxfId="16" priority="12">
      <formula>$S10="○"</formula>
    </cfRule>
  </conditionalFormatting>
  <conditionalFormatting sqref="V12 C12:T12">
    <cfRule type="expression" dxfId="15" priority="11">
      <formula>$S12="○"</formula>
    </cfRule>
  </conditionalFormatting>
  <conditionalFormatting sqref="V13 C13:T13">
    <cfRule type="expression" dxfId="14" priority="10">
      <formula>$S13="○"</formula>
    </cfRule>
  </conditionalFormatting>
  <conditionalFormatting sqref="V14 C14:T14">
    <cfRule type="expression" dxfId="13" priority="9">
      <formula>$S14="○"</formula>
    </cfRule>
  </conditionalFormatting>
  <conditionalFormatting sqref="V15 C15:T15 C16:H16">
    <cfRule type="expression" dxfId="12" priority="8">
      <formula>$S15="○"</formula>
    </cfRule>
  </conditionalFormatting>
  <conditionalFormatting sqref="V16 I16:T16">
    <cfRule type="expression" dxfId="11" priority="7">
      <formula>$S16="○"</formula>
    </cfRule>
  </conditionalFormatting>
  <conditionalFormatting sqref="V17 C17:T17">
    <cfRule type="expression" dxfId="10" priority="6">
      <formula>$S17="○"</formula>
    </cfRule>
  </conditionalFormatting>
  <conditionalFormatting sqref="V18 C18:T18">
    <cfRule type="expression" dxfId="9" priority="5">
      <formula>$S18="○"</formula>
    </cfRule>
  </conditionalFormatting>
  <conditionalFormatting sqref="V19 C19:T19">
    <cfRule type="expression" dxfId="8" priority="4">
      <formula>$S19="○"</formula>
    </cfRule>
  </conditionalFormatting>
  <conditionalFormatting sqref="V20 C20:T20">
    <cfRule type="expression" dxfId="7" priority="3">
      <formula>$S20="○"</formula>
    </cfRule>
  </conditionalFormatting>
  <conditionalFormatting sqref="V11 C11:T11">
    <cfRule type="expression" dxfId="6" priority="2">
      <formula>$S11="○"</formula>
    </cfRule>
  </conditionalFormatting>
  <conditionalFormatting sqref="V21 C21:T21">
    <cfRule type="expression" dxfId="5" priority="1">
      <formula>$S21="○"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1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22</vt:i4>
      </vt:variant>
    </vt:vector>
  </HeadingPairs>
  <TitlesOfParts>
    <vt:vector size="44" baseType="lpstr">
      <vt:lpstr>TOP</vt:lpstr>
      <vt:lpstr>基本設定</vt:lpstr>
      <vt:lpstr>E-R図</vt:lpstr>
      <vt:lpstr>メニュー</vt:lpstr>
      <vt:lpstr>テーブル一覧</vt:lpstr>
      <vt:lpstr>共通項目</vt:lpstr>
      <vt:lpstr>会員情報</vt:lpstr>
      <vt:lpstr>ユーザーオプション情報</vt:lpstr>
      <vt:lpstr>お気に入り情報</vt:lpstr>
      <vt:lpstr>コラボ・ライブラリ共通情報</vt:lpstr>
      <vt:lpstr>追加コンテンツ情報</vt:lpstr>
      <vt:lpstr>ライブラリ受注受付設定</vt:lpstr>
      <vt:lpstr>コラボ参加表明受付設定</vt:lpstr>
      <vt:lpstr>コラボ参加表明情報</vt:lpstr>
      <vt:lpstr>注文情報</vt:lpstr>
      <vt:lpstr>仲間・グループ情報</vt:lpstr>
      <vt:lpstr>仲間グループユーザー情報</vt:lpstr>
      <vt:lpstr>メッセージフィールド情報</vt:lpstr>
      <vt:lpstr>メッセージフィールドユーザー情報</vt:lpstr>
      <vt:lpstr>メッセージ情報</vt:lpstr>
      <vt:lpstr>メッセージ添付データ情報</vt:lpstr>
      <vt:lpstr>メッセージ未読既読情報</vt:lpstr>
      <vt:lpstr>'E-R図'!Print_Area</vt:lpstr>
      <vt:lpstr>TOP!Print_Area</vt:lpstr>
      <vt:lpstr>お気に入り情報!Print_Area</vt:lpstr>
      <vt:lpstr>コラボ・ライブラリ共通情報!Print_Area</vt:lpstr>
      <vt:lpstr>コラボ参加表明受付設定!Print_Area</vt:lpstr>
      <vt:lpstr>コラボ参加表明情報!Print_Area</vt:lpstr>
      <vt:lpstr>テーブル一覧!Print_Area</vt:lpstr>
      <vt:lpstr>メッセージフィールドユーザー情報!Print_Area</vt:lpstr>
      <vt:lpstr>メッセージフィールド情報!Print_Area</vt:lpstr>
      <vt:lpstr>メッセージ情報!Print_Area</vt:lpstr>
      <vt:lpstr>メッセージ添付データ情報!Print_Area</vt:lpstr>
      <vt:lpstr>メッセージ未読既読情報!Print_Area</vt:lpstr>
      <vt:lpstr>メニュー!Print_Area</vt:lpstr>
      <vt:lpstr>ユーザーオプション情報!Print_Area</vt:lpstr>
      <vt:lpstr>ライブラリ受注受付設定!Print_Area</vt:lpstr>
      <vt:lpstr>会員情報!Print_Area</vt:lpstr>
      <vt:lpstr>基本設定!Print_Area</vt:lpstr>
      <vt:lpstr>共通項目!Print_Area</vt:lpstr>
      <vt:lpstr>仲間・グループ情報!Print_Area</vt:lpstr>
      <vt:lpstr>仲間グループユーザー情報!Print_Area</vt:lpstr>
      <vt:lpstr>注文情報!Print_Area</vt:lpstr>
      <vt:lpstr>追加コンテンツ情報!Print_Area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buteneko pc note</dc:creator>
  <cp:lastModifiedBy>PULLNET21A</cp:lastModifiedBy>
  <cp:lastPrinted>2017-03-22T01:56:58Z</cp:lastPrinted>
  <dcterms:created xsi:type="dcterms:W3CDTF">2016-09-01T22:44:42Z</dcterms:created>
  <dcterms:modified xsi:type="dcterms:W3CDTF">2017-09-19T11:24:25Z</dcterms:modified>
</cp:coreProperties>
</file>